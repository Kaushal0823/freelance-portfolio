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 Data" sheetId="1" state="visible" r:id="rId3"/>
    <sheet name="Dashboar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<sst xmlns="http://schemas.openxmlformats.org/spreadsheetml/2006/main" count="1476" uniqueCount="48">
  <si>
    <t xml:space="preserve">Date</t>
  </si>
  <si>
    <t xml:space="preserve">Product</t>
  </si>
  <si>
    <t xml:space="preserve">Category</t>
  </si>
  <si>
    <t xml:space="preserve">Region</t>
  </si>
  <si>
    <t xml:space="preserve">Units</t>
  </si>
  <si>
    <t xml:space="preserve">Unit Price (INR)</t>
  </si>
  <si>
    <t xml:space="preserve">Revenue (INR)</t>
  </si>
  <si>
    <t xml:space="preserve">Month</t>
  </si>
  <si>
    <t xml:space="preserve">Wireless Earbuds</t>
  </si>
  <si>
    <t xml:space="preserve">Electronics</t>
  </si>
  <si>
    <t xml:space="preserve">South</t>
  </si>
  <si>
    <t xml:space="preserve">Basmati Rice 5kg</t>
  </si>
  <si>
    <t xml:space="preserve">Grocery</t>
  </si>
  <si>
    <t xml:space="preserve">North</t>
  </si>
  <si>
    <t xml:space="preserve">Face Serum</t>
  </si>
  <si>
    <t xml:space="preserve">Beauty</t>
  </si>
  <si>
    <t xml:space="preserve">Cotton T-Shirt</t>
  </si>
  <si>
    <t xml:space="preserve">Apparel</t>
  </si>
  <si>
    <t xml:space="preserve">West</t>
  </si>
  <si>
    <t xml:space="preserve">LED Desk Lamp</t>
  </si>
  <si>
    <t xml:space="preserve">Home &amp; Kitchen</t>
  </si>
  <si>
    <t xml:space="preserve">Cold Pressed Oil 1L</t>
  </si>
  <si>
    <t xml:space="preserve">Smart Watch</t>
  </si>
  <si>
    <t xml:space="preserve">East</t>
  </si>
  <si>
    <t xml:space="preserve">Ceramic Mug Set</t>
  </si>
  <si>
    <t xml:space="preserve">Running Shoes</t>
  </si>
  <si>
    <t xml:space="preserve">Herbal Shampoo</t>
  </si>
  <si>
    <t xml:space="preserve">Bluetooth Speaker</t>
  </si>
  <si>
    <t xml:space="preserve">Non-stick Pan Set</t>
  </si>
  <si>
    <t xml:space="preserve">Denim Jacket</t>
  </si>
  <si>
    <t xml:space="preserve">Revenue</t>
  </si>
  <si>
    <t xml:space="preserve">Sales Performance Dashboard</t>
  </si>
  <si>
    <t xml:space="preserve">Jan – Jun 2026  ·  Source: Raw Data sheet (live formulas)</t>
  </si>
  <si>
    <t xml:space="preserve">Total Revenue (INR)</t>
  </si>
  <si>
    <t xml:space="preserve">Total Units Sold</t>
  </si>
  <si>
    <t xml:space="preserve">Total Orders</t>
  </si>
  <si>
    <t xml:space="preserve">Avg Order Value (INR)</t>
  </si>
  <si>
    <t xml:space="preserve">Revenue by Category</t>
  </si>
  <si>
    <t xml:space="preserve">Revenue by Region</t>
  </si>
  <si>
    <t xml:space="preserve">Units Sold</t>
  </si>
  <si>
    <t xml:space="preserve">Monthly Revenue Trend</t>
  </si>
  <si>
    <t xml:space="preserve">Top Products by Revenue</t>
  </si>
  <si>
    <t xml:space="preserve">Jan-26</t>
  </si>
  <si>
    <t xml:space="preserve">Feb-26</t>
  </si>
  <si>
    <t xml:space="preserve">Mar-26</t>
  </si>
  <si>
    <t xml:space="preserve">Apr-26</t>
  </si>
  <si>
    <t xml:space="preserve">May-26</t>
  </si>
  <si>
    <t xml:space="preserve">Jun-26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</si>
</sst>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E9E2D2"/>
      <name val="Arial"/>
      <family val="0"/>
      <charset val="1"/>
    </font>
    <font>
      <sz val="10"/>
      <color rgb="FF4A423A"/>
      <name val="Arial"/>
      <family val="0"/>
      <charset val="1"/>
    </font>
    <font>
      <b val="true"/>
      <sz val="18"/>
      <color rgb="FF1C1712"/>
      <name val="Arial"/>
      <family val="0"/>
      <charset val="1"/>
    </font>
    <font>
      <b val="true"/>
      <sz val="20"/>
      <color rgb="FFB85C1E"/>
      <name val="Arial"/>
      <family val="0"/>
      <charset val="1"/>
    </font>
    <font>
      <b val="true"/>
      <sz val="13"/>
      <color rgb="FF1C17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C1712"/>
        <bgColor rgb="FF000000"/>
      </patternFill>
    </fill>
    <fill>
      <patternFill patternType="solid">
        <fgColor rgb="FF3E4A38"/>
        <bgColor rgb="FF4A423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2"/>
      </left>
      <right style="thin">
        <color rgb="FFD9D2C2"/>
      </right>
      <top style="thin">
        <color rgb="FFD9D2C2"/>
      </top>
      <bottom style="thin">
        <color rgb="FFD9D2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2"/>
      <rgbColor rgb="FF878787"/>
      <rgbColor rgb="FF9999FF"/>
      <rgbColor rgb="FFC0504D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9E2D2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F9900"/>
      <rgbColor rgb="FFFF6600"/>
      <rgbColor rgb="FF8064A2"/>
      <rgbColor rgb="FF969696"/>
      <rgbColor rgb="FF003366"/>
      <rgbColor rgb="FF339966"/>
      <rgbColor rgb="FF003300"/>
      <rgbColor rgb="FF1C1712"/>
      <rgbColor rgb="FFB85C1E"/>
      <rgbColor rgb="FF993366"/>
      <rgbColor rgb="FF3E4A38"/>
      <rgbColor rgb="FF4A42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Dashboard!C20</c:f>
              <c:strCache>
                <c:ptCount val="1"/>
                <c:pt idx="0">
                  <c:v>Revenue (INR)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Dashboard!$B$21:$B$26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Dashboard!$C$21:$C$26</c:f>
              <c:numCache>
                <c:formatCode>#,##0</c:formatCode>
                <c:ptCount val="6"/>
                <c:pt idx="0">
                  <c:v>268576</c:v>
                </c:pt>
                <c:pt idx="1">
                  <c:v>298326</c:v>
                </c:pt>
                <c:pt idx="2">
                  <c:v>369041</c:v>
                </c:pt>
                <c:pt idx="3">
                  <c:v>315334</c:v>
                </c:pt>
                <c:pt idx="4">
                  <c:v>404507</c:v>
                </c:pt>
                <c:pt idx="5">
                  <c:v>300676</c:v>
                </c:pt>
              </c:numCache>
            </c:numRef>
          </c:val>
        </c:ser>
        <c:gapWidth val="150"/>
        <c:overlap val="0"/>
        <c:axId val="77725011"/>
        <c:axId val="61163712"/>
      </c:barChart>
      <c:catAx>
        <c:axId val="777250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163712"/>
        <c:crosses val="autoZero"/>
        <c:auto val="1"/>
        <c:lblAlgn val="ctr"/>
        <c:lblOffset val="100"/>
        <c:noMultiLvlLbl val="0"/>
      </c:catAx>
      <c:valAx>
        <c:axId val="6116371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(INR)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7250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Dashboard!C11</c:f>
              <c:strCache>
                <c:ptCount val="1"/>
                <c:pt idx="0">
                  <c:v>Revenue (INR)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Dashboard!$B$12:$B$16</c:f>
              <c:strCache>
                <c:ptCount val="5"/>
                <c:pt idx="0">
                  <c:v>Electronics</c:v>
                </c:pt>
                <c:pt idx="1">
                  <c:v>Apparel</c:v>
                </c:pt>
                <c:pt idx="2">
                  <c:v>Home &amp; Kitchen</c:v>
                </c:pt>
                <c:pt idx="3">
                  <c:v>Beauty</c:v>
                </c:pt>
                <c:pt idx="4">
                  <c:v>Grocery</c:v>
                </c:pt>
              </c:strCache>
            </c:strRef>
          </c:cat>
          <c:val>
            <c:numRef>
              <c:f>Dashboard!$C$12:$C$16</c:f>
              <c:numCache>
                <c:formatCode>#,##0</c:formatCode>
                <c:ptCount val="5"/>
                <c:pt idx="0">
                  <c:v>807658</c:v>
                </c:pt>
                <c:pt idx="1">
                  <c:v>524666</c:v>
                </c:pt>
                <c:pt idx="2">
                  <c:v>346944</c:v>
                </c:pt>
                <c:pt idx="3">
                  <c:v>142202</c:v>
                </c:pt>
                <c:pt idx="4">
                  <c:v>134990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25</xdr:row>
      <xdr:rowOff>71640</xdr:rowOff>
    </xdr:from>
    <xdr:to>
      <xdr:col>6</xdr:col>
      <xdr:colOff>543960</xdr:colOff>
      <xdr:row>40</xdr:row>
      <xdr:rowOff>93600</xdr:rowOff>
    </xdr:to>
    <xdr:graphicFrame>
      <xdr:nvGraphicFramePr>
        <xdr:cNvPr id="0" name="Chart 1"/>
        <xdr:cNvGraphicFramePr/>
      </xdr:nvGraphicFramePr>
      <xdr:xfrm>
        <a:off x="611640" y="49528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25</xdr:row>
      <xdr:rowOff>71640</xdr:rowOff>
    </xdr:from>
    <xdr:to>
      <xdr:col>11</xdr:col>
      <xdr:colOff>1014120</xdr:colOff>
      <xdr:row>40</xdr:row>
      <xdr:rowOff>93600</xdr:rowOff>
    </xdr:to>
    <xdr:graphicFrame>
      <xdr:nvGraphicFramePr>
        <xdr:cNvPr id="1" name="Chart 2"/>
        <xdr:cNvGraphicFramePr/>
      </xdr:nvGraphicFramePr>
      <xdr:xfrm>
        <a:off x="4417560" y="495288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n">
        <v>46023</v>
      </c>
      <c r="B2" s="3" t="s">
        <v>8</v>
      </c>
      <c r="C2" s="3" t="s">
        <v>9</v>
      </c>
      <c r="D2" s="3" t="s">
        <v>10</v>
      </c>
      <c r="E2" s="0" t="n">
        <v>2</v>
      </c>
      <c r="F2" s="4" t="n">
        <v>1972</v>
      </c>
      <c r="G2" s="4" t="n">
        <f aca="false">E2*F2</f>
        <v>3944</v>
      </c>
      <c r="H2" s="0" t="str">
        <f aca="false">TEXT(A2,"mmm-yy")</f>
        <v>Jan-26</v>
      </c>
    </row>
    <row r="3" customFormat="false" ht="15" hidden="false" customHeight="false" outlineLevel="0" collapsed="false">
      <c r="A3" s="2" t="n">
        <v>46024</v>
      </c>
      <c r="B3" s="3" t="s">
        <v>11</v>
      </c>
      <c r="C3" s="3" t="s">
        <v>12</v>
      </c>
      <c r="D3" s="3" t="s">
        <v>13</v>
      </c>
      <c r="E3" s="0" t="n">
        <v>5</v>
      </c>
      <c r="F3" s="4" t="n">
        <v>608</v>
      </c>
      <c r="G3" s="4" t="n">
        <f aca="false">E3*F3</f>
        <v>3040</v>
      </c>
      <c r="H3" s="0" t="str">
        <f aca="false">TEXT(A3,"mmm-yy")</f>
        <v>Jan-26</v>
      </c>
    </row>
    <row r="4" customFormat="false" ht="15" hidden="false" customHeight="false" outlineLevel="0" collapsed="false">
      <c r="A4" s="2" t="n">
        <v>46024</v>
      </c>
      <c r="B4" s="3" t="s">
        <v>14</v>
      </c>
      <c r="C4" s="3" t="s">
        <v>15</v>
      </c>
      <c r="D4" s="3" t="s">
        <v>13</v>
      </c>
      <c r="E4" s="0" t="n">
        <v>1</v>
      </c>
      <c r="F4" s="4" t="n">
        <v>789</v>
      </c>
      <c r="G4" s="4" t="n">
        <f aca="false">E4*F4</f>
        <v>789</v>
      </c>
      <c r="H4" s="0" t="str">
        <f aca="false">TEXT(A4,"mmm-yy")</f>
        <v>Jan-26</v>
      </c>
    </row>
    <row r="5" customFormat="false" ht="15" hidden="false" customHeight="false" outlineLevel="0" collapsed="false">
      <c r="A5" s="2" t="n">
        <v>46025</v>
      </c>
      <c r="B5" s="3" t="s">
        <v>16</v>
      </c>
      <c r="C5" s="3" t="s">
        <v>17</v>
      </c>
      <c r="D5" s="3" t="s">
        <v>10</v>
      </c>
      <c r="E5" s="0" t="n">
        <v>1</v>
      </c>
      <c r="F5" s="4" t="n">
        <v>499</v>
      </c>
      <c r="G5" s="4" t="n">
        <f aca="false">E5*F5</f>
        <v>499</v>
      </c>
      <c r="H5" s="0" t="str">
        <f aca="false">TEXT(A5,"mmm-yy")</f>
        <v>Jan-26</v>
      </c>
    </row>
    <row r="6" customFormat="false" ht="15" hidden="false" customHeight="false" outlineLevel="0" collapsed="false">
      <c r="A6" s="2" t="n">
        <v>46025</v>
      </c>
      <c r="B6" s="3" t="s">
        <v>11</v>
      </c>
      <c r="C6" s="3" t="s">
        <v>12</v>
      </c>
      <c r="D6" s="3" t="s">
        <v>18</v>
      </c>
      <c r="E6" s="0" t="n">
        <v>5</v>
      </c>
      <c r="F6" s="4" t="n">
        <v>665</v>
      </c>
      <c r="G6" s="4" t="n">
        <f aca="false">E6*F6</f>
        <v>3325</v>
      </c>
      <c r="H6" s="0" t="str">
        <f aca="false">TEXT(A6,"mmm-yy")</f>
        <v>Jan-26</v>
      </c>
    </row>
    <row r="7" customFormat="false" ht="15" hidden="false" customHeight="false" outlineLevel="0" collapsed="false">
      <c r="A7" s="2" t="n">
        <v>46026</v>
      </c>
      <c r="B7" s="3" t="s">
        <v>19</v>
      </c>
      <c r="C7" s="3" t="s">
        <v>20</v>
      </c>
      <c r="D7" s="3" t="s">
        <v>10</v>
      </c>
      <c r="E7" s="0" t="n">
        <v>1</v>
      </c>
      <c r="F7" s="4" t="n">
        <v>912</v>
      </c>
      <c r="G7" s="4" t="n">
        <f aca="false">E7*F7</f>
        <v>912</v>
      </c>
      <c r="H7" s="0" t="str">
        <f aca="false">TEXT(A7,"mmm-yy")</f>
        <v>Jan-26</v>
      </c>
    </row>
    <row r="8" customFormat="false" ht="15" hidden="false" customHeight="false" outlineLevel="0" collapsed="false">
      <c r="A8" s="2" t="n">
        <v>46026</v>
      </c>
      <c r="B8" s="3" t="s">
        <v>11</v>
      </c>
      <c r="C8" s="3" t="s">
        <v>12</v>
      </c>
      <c r="D8" s="3" t="s">
        <v>10</v>
      </c>
      <c r="E8" s="0" t="n">
        <v>3</v>
      </c>
      <c r="F8" s="4" t="n">
        <v>641</v>
      </c>
      <c r="G8" s="4" t="n">
        <f aca="false">E8*F8</f>
        <v>1923</v>
      </c>
      <c r="H8" s="0" t="str">
        <f aca="false">TEXT(A8,"mmm-yy")</f>
        <v>Jan-26</v>
      </c>
    </row>
    <row r="9" customFormat="false" ht="15" hidden="false" customHeight="false" outlineLevel="0" collapsed="false">
      <c r="A9" s="2" t="n">
        <v>46027</v>
      </c>
      <c r="B9" s="3" t="s">
        <v>21</v>
      </c>
      <c r="C9" s="3" t="s">
        <v>12</v>
      </c>
      <c r="D9" s="3" t="s">
        <v>18</v>
      </c>
      <c r="E9" s="0" t="n">
        <v>1</v>
      </c>
      <c r="F9" s="4" t="n">
        <v>389</v>
      </c>
      <c r="G9" s="4" t="n">
        <f aca="false">E9*F9</f>
        <v>389</v>
      </c>
      <c r="H9" s="0" t="str">
        <f aca="false">TEXT(A9,"mmm-yy")</f>
        <v>Jan-26</v>
      </c>
    </row>
    <row r="10" customFormat="false" ht="15" hidden="false" customHeight="false" outlineLevel="0" collapsed="false">
      <c r="A10" s="2" t="n">
        <v>46027</v>
      </c>
      <c r="B10" s="3" t="s">
        <v>22</v>
      </c>
      <c r="C10" s="3" t="s">
        <v>9</v>
      </c>
      <c r="D10" s="3" t="s">
        <v>23</v>
      </c>
      <c r="E10" s="0" t="n">
        <v>3</v>
      </c>
      <c r="F10" s="4" t="n">
        <v>3420</v>
      </c>
      <c r="G10" s="4" t="n">
        <f aca="false">E10*F10</f>
        <v>10260</v>
      </c>
      <c r="H10" s="0" t="str">
        <f aca="false">TEXT(A10,"mmm-yy")</f>
        <v>Jan-26</v>
      </c>
    </row>
    <row r="11" customFormat="false" ht="15" hidden="false" customHeight="false" outlineLevel="0" collapsed="false">
      <c r="A11" s="2" t="n">
        <v>46028</v>
      </c>
      <c r="B11" s="3" t="s">
        <v>11</v>
      </c>
      <c r="C11" s="3" t="s">
        <v>12</v>
      </c>
      <c r="D11" s="3" t="s">
        <v>18</v>
      </c>
      <c r="E11" s="0" t="n">
        <v>1</v>
      </c>
      <c r="F11" s="4" t="n">
        <v>645</v>
      </c>
      <c r="G11" s="4" t="n">
        <f aca="false">E11*F11</f>
        <v>645</v>
      </c>
      <c r="H11" s="0" t="str">
        <f aca="false">TEXT(A11,"mmm-yy")</f>
        <v>Jan-26</v>
      </c>
    </row>
    <row r="12" customFormat="false" ht="15" hidden="false" customHeight="false" outlineLevel="0" collapsed="false">
      <c r="A12" s="2" t="n">
        <v>46029</v>
      </c>
      <c r="B12" s="3" t="s">
        <v>24</v>
      </c>
      <c r="C12" s="3" t="s">
        <v>20</v>
      </c>
      <c r="D12" s="3" t="s">
        <v>23</v>
      </c>
      <c r="E12" s="0" t="n">
        <v>5</v>
      </c>
      <c r="F12" s="4" t="n">
        <v>579</v>
      </c>
      <c r="G12" s="4" t="n">
        <f aca="false">E12*F12</f>
        <v>2895</v>
      </c>
      <c r="H12" s="0" t="str">
        <f aca="false">TEXT(A12,"mmm-yy")</f>
        <v>Jan-26</v>
      </c>
    </row>
    <row r="13" customFormat="false" ht="15" hidden="false" customHeight="false" outlineLevel="0" collapsed="false">
      <c r="A13" s="2" t="n">
        <v>46030</v>
      </c>
      <c r="B13" s="3" t="s">
        <v>11</v>
      </c>
      <c r="C13" s="3" t="s">
        <v>12</v>
      </c>
      <c r="D13" s="3" t="s">
        <v>23</v>
      </c>
      <c r="E13" s="0" t="n">
        <v>2</v>
      </c>
      <c r="F13" s="4" t="n">
        <v>604</v>
      </c>
      <c r="G13" s="4" t="n">
        <f aca="false">E13*F13</f>
        <v>1208</v>
      </c>
      <c r="H13" s="0" t="str">
        <f aca="false">TEXT(A13,"mmm-yy")</f>
        <v>Jan-26</v>
      </c>
    </row>
    <row r="14" customFormat="false" ht="15" hidden="false" customHeight="false" outlineLevel="0" collapsed="false">
      <c r="A14" s="2" t="n">
        <v>46030</v>
      </c>
      <c r="B14" s="3" t="s">
        <v>22</v>
      </c>
      <c r="C14" s="3" t="s">
        <v>9</v>
      </c>
      <c r="D14" s="3" t="s">
        <v>18</v>
      </c>
      <c r="E14" s="0" t="n">
        <v>1</v>
      </c>
      <c r="F14" s="4" t="n">
        <v>3698</v>
      </c>
      <c r="G14" s="4" t="n">
        <f aca="false">E14*F14</f>
        <v>3698</v>
      </c>
      <c r="H14" s="0" t="str">
        <f aca="false">TEXT(A14,"mmm-yy")</f>
        <v>Jan-26</v>
      </c>
    </row>
    <row r="15" customFormat="false" ht="15" hidden="false" customHeight="false" outlineLevel="0" collapsed="false">
      <c r="A15" s="2" t="n">
        <v>46031</v>
      </c>
      <c r="B15" s="3" t="s">
        <v>19</v>
      </c>
      <c r="C15" s="3" t="s">
        <v>20</v>
      </c>
      <c r="D15" s="3" t="s">
        <v>10</v>
      </c>
      <c r="E15" s="0" t="n">
        <v>3</v>
      </c>
      <c r="F15" s="4" t="n">
        <v>919</v>
      </c>
      <c r="G15" s="4" t="n">
        <f aca="false">E15*F15</f>
        <v>2757</v>
      </c>
      <c r="H15" s="0" t="str">
        <f aca="false">TEXT(A15,"mmm-yy")</f>
        <v>Jan-26</v>
      </c>
    </row>
    <row r="16" customFormat="false" ht="15" hidden="false" customHeight="false" outlineLevel="0" collapsed="false">
      <c r="A16" s="2" t="n">
        <v>46031</v>
      </c>
      <c r="B16" s="3" t="s">
        <v>25</v>
      </c>
      <c r="C16" s="3" t="s">
        <v>17</v>
      </c>
      <c r="D16" s="3" t="s">
        <v>13</v>
      </c>
      <c r="E16" s="0" t="n">
        <v>3</v>
      </c>
      <c r="F16" s="4" t="n">
        <v>2734</v>
      </c>
      <c r="G16" s="4" t="n">
        <f aca="false">E16*F16</f>
        <v>8202</v>
      </c>
      <c r="H16" s="0" t="str">
        <f aca="false">TEXT(A16,"mmm-yy")</f>
        <v>Jan-26</v>
      </c>
    </row>
    <row r="17" customFormat="false" ht="15" hidden="false" customHeight="false" outlineLevel="0" collapsed="false">
      <c r="A17" s="2" t="n">
        <v>46031</v>
      </c>
      <c r="B17" s="3" t="s">
        <v>14</v>
      </c>
      <c r="C17" s="3" t="s">
        <v>15</v>
      </c>
      <c r="D17" s="3" t="s">
        <v>10</v>
      </c>
      <c r="E17" s="0" t="n">
        <v>5</v>
      </c>
      <c r="F17" s="4" t="n">
        <v>816</v>
      </c>
      <c r="G17" s="4" t="n">
        <f aca="false">E17*F17</f>
        <v>4080</v>
      </c>
      <c r="H17" s="0" t="str">
        <f aca="false">TEXT(A17,"mmm-yy")</f>
        <v>Jan-26</v>
      </c>
    </row>
    <row r="18" customFormat="false" ht="15" hidden="false" customHeight="false" outlineLevel="0" collapsed="false">
      <c r="A18" s="2" t="n">
        <v>46032</v>
      </c>
      <c r="B18" s="3" t="s">
        <v>19</v>
      </c>
      <c r="C18" s="3" t="s">
        <v>20</v>
      </c>
      <c r="D18" s="3" t="s">
        <v>10</v>
      </c>
      <c r="E18" s="0" t="n">
        <v>5</v>
      </c>
      <c r="F18" s="4" t="n">
        <v>882</v>
      </c>
      <c r="G18" s="4" t="n">
        <f aca="false">E18*F18</f>
        <v>4410</v>
      </c>
      <c r="H18" s="0" t="str">
        <f aca="false">TEXT(A18,"mmm-yy")</f>
        <v>Jan-26</v>
      </c>
    </row>
    <row r="19" customFormat="false" ht="15" hidden="false" customHeight="false" outlineLevel="0" collapsed="false">
      <c r="A19" s="2" t="n">
        <v>46032</v>
      </c>
      <c r="B19" s="3" t="s">
        <v>26</v>
      </c>
      <c r="C19" s="3" t="s">
        <v>15</v>
      </c>
      <c r="D19" s="3" t="s">
        <v>10</v>
      </c>
      <c r="E19" s="0" t="n">
        <v>1</v>
      </c>
      <c r="F19" s="4" t="n">
        <v>339</v>
      </c>
      <c r="G19" s="4" t="n">
        <f aca="false">E19*F19</f>
        <v>339</v>
      </c>
      <c r="H19" s="0" t="str">
        <f aca="false">TEXT(A19,"mmm-yy")</f>
        <v>Jan-26</v>
      </c>
    </row>
    <row r="20" customFormat="false" ht="15" hidden="false" customHeight="false" outlineLevel="0" collapsed="false">
      <c r="A20" s="2" t="n">
        <v>46033</v>
      </c>
      <c r="B20" s="3" t="s">
        <v>21</v>
      </c>
      <c r="C20" s="3" t="s">
        <v>12</v>
      </c>
      <c r="D20" s="3" t="s">
        <v>13</v>
      </c>
      <c r="E20" s="0" t="n">
        <v>3</v>
      </c>
      <c r="F20" s="4" t="n">
        <v>387</v>
      </c>
      <c r="G20" s="4" t="n">
        <f aca="false">E20*F20</f>
        <v>1161</v>
      </c>
      <c r="H20" s="0" t="str">
        <f aca="false">TEXT(A20,"mmm-yy")</f>
        <v>Jan-26</v>
      </c>
    </row>
    <row r="21" customFormat="false" ht="15" hidden="false" customHeight="false" outlineLevel="0" collapsed="false">
      <c r="A21" s="2" t="n">
        <v>46034</v>
      </c>
      <c r="B21" s="3" t="s">
        <v>14</v>
      </c>
      <c r="C21" s="3" t="s">
        <v>15</v>
      </c>
      <c r="D21" s="3" t="s">
        <v>10</v>
      </c>
      <c r="E21" s="0" t="n">
        <v>3</v>
      </c>
      <c r="F21" s="4" t="n">
        <v>847</v>
      </c>
      <c r="G21" s="4" t="n">
        <f aca="false">E21*F21</f>
        <v>2541</v>
      </c>
      <c r="H21" s="0" t="str">
        <f aca="false">TEXT(A21,"mmm-yy")</f>
        <v>Jan-26</v>
      </c>
    </row>
    <row r="22" customFormat="false" ht="15" hidden="false" customHeight="false" outlineLevel="0" collapsed="false">
      <c r="A22" s="2" t="n">
        <v>46034</v>
      </c>
      <c r="B22" s="3" t="s">
        <v>26</v>
      </c>
      <c r="C22" s="3" t="s">
        <v>15</v>
      </c>
      <c r="D22" s="3" t="s">
        <v>10</v>
      </c>
      <c r="E22" s="0" t="n">
        <v>4</v>
      </c>
      <c r="F22" s="4" t="n">
        <v>349</v>
      </c>
      <c r="G22" s="4" t="n">
        <f aca="false">E22*F22</f>
        <v>1396</v>
      </c>
      <c r="H22" s="0" t="str">
        <f aca="false">TEXT(A22,"mmm-yy")</f>
        <v>Jan-26</v>
      </c>
    </row>
    <row r="23" customFormat="false" ht="15" hidden="false" customHeight="false" outlineLevel="0" collapsed="false">
      <c r="A23" s="2" t="n">
        <v>46035</v>
      </c>
      <c r="B23" s="3" t="s">
        <v>27</v>
      </c>
      <c r="C23" s="3" t="s">
        <v>9</v>
      </c>
      <c r="D23" s="3" t="s">
        <v>23</v>
      </c>
      <c r="E23" s="0" t="n">
        <v>5</v>
      </c>
      <c r="F23" s="4" t="n">
        <v>1438</v>
      </c>
      <c r="G23" s="4" t="n">
        <f aca="false">E23*F23</f>
        <v>7190</v>
      </c>
      <c r="H23" s="0" t="str">
        <f aca="false">TEXT(A23,"mmm-yy")</f>
        <v>Jan-26</v>
      </c>
    </row>
    <row r="24" customFormat="false" ht="15" hidden="false" customHeight="false" outlineLevel="0" collapsed="false">
      <c r="A24" s="2" t="n">
        <v>46035</v>
      </c>
      <c r="B24" s="3" t="s">
        <v>11</v>
      </c>
      <c r="C24" s="3" t="s">
        <v>12</v>
      </c>
      <c r="D24" s="3" t="s">
        <v>18</v>
      </c>
      <c r="E24" s="0" t="n">
        <v>5</v>
      </c>
      <c r="F24" s="4" t="n">
        <v>658</v>
      </c>
      <c r="G24" s="4" t="n">
        <f aca="false">E24*F24</f>
        <v>3290</v>
      </c>
      <c r="H24" s="0" t="str">
        <f aca="false">TEXT(A24,"mmm-yy")</f>
        <v>Jan-26</v>
      </c>
    </row>
    <row r="25" customFormat="false" ht="15" hidden="false" customHeight="false" outlineLevel="0" collapsed="false">
      <c r="A25" s="2" t="n">
        <v>46035</v>
      </c>
      <c r="B25" s="3" t="s">
        <v>25</v>
      </c>
      <c r="C25" s="3" t="s">
        <v>17</v>
      </c>
      <c r="D25" s="3" t="s">
        <v>18</v>
      </c>
      <c r="E25" s="0" t="n">
        <v>2</v>
      </c>
      <c r="F25" s="4" t="n">
        <v>2673</v>
      </c>
      <c r="G25" s="4" t="n">
        <f aca="false">E25*F25</f>
        <v>5346</v>
      </c>
      <c r="H25" s="0" t="str">
        <f aca="false">TEXT(A25,"mmm-yy")</f>
        <v>Jan-26</v>
      </c>
    </row>
    <row r="26" customFormat="false" ht="15" hidden="false" customHeight="false" outlineLevel="0" collapsed="false">
      <c r="A26" s="2" t="n">
        <v>46036</v>
      </c>
      <c r="B26" s="3" t="s">
        <v>21</v>
      </c>
      <c r="C26" s="3" t="s">
        <v>12</v>
      </c>
      <c r="D26" s="3" t="s">
        <v>10</v>
      </c>
      <c r="E26" s="0" t="n">
        <v>1</v>
      </c>
      <c r="F26" s="4" t="n">
        <v>370</v>
      </c>
      <c r="G26" s="4" t="n">
        <f aca="false">E26*F26</f>
        <v>370</v>
      </c>
      <c r="H26" s="0" t="str">
        <f aca="false">TEXT(A26,"mmm-yy")</f>
        <v>Jan-26</v>
      </c>
    </row>
    <row r="27" customFormat="false" ht="15" hidden="false" customHeight="false" outlineLevel="0" collapsed="false">
      <c r="A27" s="2" t="n">
        <v>46037</v>
      </c>
      <c r="B27" s="3" t="s">
        <v>21</v>
      </c>
      <c r="C27" s="3" t="s">
        <v>12</v>
      </c>
      <c r="D27" s="3" t="s">
        <v>13</v>
      </c>
      <c r="E27" s="0" t="n">
        <v>5</v>
      </c>
      <c r="F27" s="4" t="n">
        <v>411</v>
      </c>
      <c r="G27" s="4" t="n">
        <f aca="false">E27*F27</f>
        <v>2055</v>
      </c>
      <c r="H27" s="0" t="str">
        <f aca="false">TEXT(A27,"mmm-yy")</f>
        <v>Jan-26</v>
      </c>
    </row>
    <row r="28" customFormat="false" ht="15" hidden="false" customHeight="false" outlineLevel="0" collapsed="false">
      <c r="A28" s="2" t="n">
        <v>46037</v>
      </c>
      <c r="B28" s="3" t="s">
        <v>28</v>
      </c>
      <c r="C28" s="3" t="s">
        <v>20</v>
      </c>
      <c r="D28" s="3" t="s">
        <v>23</v>
      </c>
      <c r="E28" s="0" t="n">
        <v>4</v>
      </c>
      <c r="F28" s="4" t="n">
        <v>1667</v>
      </c>
      <c r="G28" s="4" t="n">
        <f aca="false">E28*F28</f>
        <v>6668</v>
      </c>
      <c r="H28" s="0" t="str">
        <f aca="false">TEXT(A28,"mmm-yy")</f>
        <v>Jan-26</v>
      </c>
    </row>
    <row r="29" customFormat="false" ht="15" hidden="false" customHeight="false" outlineLevel="0" collapsed="false">
      <c r="A29" s="2" t="n">
        <v>46038</v>
      </c>
      <c r="B29" s="3" t="s">
        <v>26</v>
      </c>
      <c r="C29" s="3" t="s">
        <v>15</v>
      </c>
      <c r="D29" s="3" t="s">
        <v>23</v>
      </c>
      <c r="E29" s="0" t="n">
        <v>5</v>
      </c>
      <c r="F29" s="4" t="n">
        <v>361</v>
      </c>
      <c r="G29" s="4" t="n">
        <f aca="false">E29*F29</f>
        <v>1805</v>
      </c>
      <c r="H29" s="0" t="str">
        <f aca="false">TEXT(A29,"mmm-yy")</f>
        <v>Jan-26</v>
      </c>
    </row>
    <row r="30" customFormat="false" ht="15" hidden="false" customHeight="false" outlineLevel="0" collapsed="false">
      <c r="A30" s="2" t="n">
        <v>46039</v>
      </c>
      <c r="B30" s="3" t="s">
        <v>22</v>
      </c>
      <c r="C30" s="3" t="s">
        <v>9</v>
      </c>
      <c r="D30" s="3" t="s">
        <v>18</v>
      </c>
      <c r="E30" s="0" t="n">
        <v>2</v>
      </c>
      <c r="F30" s="4" t="n">
        <v>3383</v>
      </c>
      <c r="G30" s="4" t="n">
        <f aca="false">E30*F30</f>
        <v>6766</v>
      </c>
      <c r="H30" s="0" t="str">
        <f aca="false">TEXT(A30,"mmm-yy")</f>
        <v>Jan-26</v>
      </c>
    </row>
    <row r="31" customFormat="false" ht="15" hidden="false" customHeight="false" outlineLevel="0" collapsed="false">
      <c r="A31" s="2" t="n">
        <v>46039</v>
      </c>
      <c r="B31" s="3" t="s">
        <v>8</v>
      </c>
      <c r="C31" s="3" t="s">
        <v>9</v>
      </c>
      <c r="D31" s="3" t="s">
        <v>10</v>
      </c>
      <c r="E31" s="0" t="n">
        <v>3</v>
      </c>
      <c r="F31" s="4" t="n">
        <v>2037</v>
      </c>
      <c r="G31" s="4" t="n">
        <f aca="false">E31*F31</f>
        <v>6111</v>
      </c>
      <c r="H31" s="0" t="str">
        <f aca="false">TEXT(A31,"mmm-yy")</f>
        <v>Jan-26</v>
      </c>
    </row>
    <row r="32" customFormat="false" ht="15" hidden="false" customHeight="false" outlineLevel="0" collapsed="false">
      <c r="A32" s="2" t="n">
        <v>46039</v>
      </c>
      <c r="B32" s="3" t="s">
        <v>24</v>
      </c>
      <c r="C32" s="3" t="s">
        <v>20</v>
      </c>
      <c r="D32" s="3" t="s">
        <v>10</v>
      </c>
      <c r="E32" s="0" t="n">
        <v>3</v>
      </c>
      <c r="F32" s="4" t="n">
        <v>639</v>
      </c>
      <c r="G32" s="4" t="n">
        <f aca="false">E32*F32</f>
        <v>1917</v>
      </c>
      <c r="H32" s="0" t="str">
        <f aca="false">TEXT(A32,"mmm-yy")</f>
        <v>Jan-26</v>
      </c>
    </row>
    <row r="33" customFormat="false" ht="15" hidden="false" customHeight="false" outlineLevel="0" collapsed="false">
      <c r="A33" s="2" t="n">
        <v>46040</v>
      </c>
      <c r="B33" s="3" t="s">
        <v>25</v>
      </c>
      <c r="C33" s="3" t="s">
        <v>17</v>
      </c>
      <c r="D33" s="3" t="s">
        <v>13</v>
      </c>
      <c r="E33" s="0" t="n">
        <v>5</v>
      </c>
      <c r="F33" s="4" t="n">
        <v>2917</v>
      </c>
      <c r="G33" s="4" t="n">
        <f aca="false">E33*F33</f>
        <v>14585</v>
      </c>
      <c r="H33" s="0" t="str">
        <f aca="false">TEXT(A33,"mmm-yy")</f>
        <v>Jan-26</v>
      </c>
    </row>
    <row r="34" customFormat="false" ht="15" hidden="false" customHeight="false" outlineLevel="0" collapsed="false">
      <c r="A34" s="2" t="n">
        <v>46040</v>
      </c>
      <c r="B34" s="3" t="s">
        <v>14</v>
      </c>
      <c r="C34" s="3" t="s">
        <v>15</v>
      </c>
      <c r="D34" s="3" t="s">
        <v>13</v>
      </c>
      <c r="E34" s="0" t="n">
        <v>1</v>
      </c>
      <c r="F34" s="4" t="n">
        <v>777</v>
      </c>
      <c r="G34" s="4" t="n">
        <f aca="false">E34*F34</f>
        <v>777</v>
      </c>
      <c r="H34" s="0" t="str">
        <f aca="false">TEXT(A34,"mmm-yy")</f>
        <v>Jan-26</v>
      </c>
    </row>
    <row r="35" customFormat="false" ht="15" hidden="false" customHeight="false" outlineLevel="0" collapsed="false">
      <c r="A35" s="2" t="n">
        <v>46041</v>
      </c>
      <c r="B35" s="3" t="s">
        <v>21</v>
      </c>
      <c r="C35" s="3" t="s">
        <v>12</v>
      </c>
      <c r="D35" s="3" t="s">
        <v>10</v>
      </c>
      <c r="E35" s="0" t="n">
        <v>1</v>
      </c>
      <c r="F35" s="4" t="n">
        <v>387</v>
      </c>
      <c r="G35" s="4" t="n">
        <f aca="false">E35*F35</f>
        <v>387</v>
      </c>
      <c r="H35" s="0" t="str">
        <f aca="false">TEXT(A35,"mmm-yy")</f>
        <v>Jan-26</v>
      </c>
    </row>
    <row r="36" customFormat="false" ht="15" hidden="false" customHeight="false" outlineLevel="0" collapsed="false">
      <c r="A36" s="2" t="n">
        <v>46041</v>
      </c>
      <c r="B36" s="3" t="s">
        <v>14</v>
      </c>
      <c r="C36" s="3" t="s">
        <v>15</v>
      </c>
      <c r="D36" s="3" t="s">
        <v>18</v>
      </c>
      <c r="E36" s="0" t="n">
        <v>1</v>
      </c>
      <c r="F36" s="4" t="n">
        <v>856</v>
      </c>
      <c r="G36" s="4" t="n">
        <f aca="false">E36*F36</f>
        <v>856</v>
      </c>
      <c r="H36" s="0" t="str">
        <f aca="false">TEXT(A36,"mmm-yy")</f>
        <v>Jan-26</v>
      </c>
    </row>
    <row r="37" customFormat="false" ht="15" hidden="false" customHeight="false" outlineLevel="0" collapsed="false">
      <c r="A37" s="2" t="n">
        <v>46041</v>
      </c>
      <c r="B37" s="3" t="s">
        <v>22</v>
      </c>
      <c r="C37" s="3" t="s">
        <v>9</v>
      </c>
      <c r="D37" s="3" t="s">
        <v>10</v>
      </c>
      <c r="E37" s="0" t="n">
        <v>5</v>
      </c>
      <c r="F37" s="4" t="n">
        <v>3767</v>
      </c>
      <c r="G37" s="4" t="n">
        <f aca="false">E37*F37</f>
        <v>18835</v>
      </c>
      <c r="H37" s="0" t="str">
        <f aca="false">TEXT(A37,"mmm-yy")</f>
        <v>Jan-26</v>
      </c>
    </row>
    <row r="38" customFormat="false" ht="15" hidden="false" customHeight="false" outlineLevel="0" collapsed="false">
      <c r="A38" s="2" t="n">
        <v>46042</v>
      </c>
      <c r="B38" s="3" t="s">
        <v>26</v>
      </c>
      <c r="C38" s="3" t="s">
        <v>15</v>
      </c>
      <c r="D38" s="3" t="s">
        <v>10</v>
      </c>
      <c r="E38" s="0" t="n">
        <v>5</v>
      </c>
      <c r="F38" s="4" t="n">
        <v>348</v>
      </c>
      <c r="G38" s="4" t="n">
        <f aca="false">E38*F38</f>
        <v>1740</v>
      </c>
      <c r="H38" s="0" t="str">
        <f aca="false">TEXT(A38,"mmm-yy")</f>
        <v>Jan-26</v>
      </c>
    </row>
    <row r="39" customFormat="false" ht="15" hidden="false" customHeight="false" outlineLevel="0" collapsed="false">
      <c r="A39" s="2" t="n">
        <v>46042</v>
      </c>
      <c r="B39" s="3" t="s">
        <v>29</v>
      </c>
      <c r="C39" s="3" t="s">
        <v>17</v>
      </c>
      <c r="D39" s="3" t="s">
        <v>18</v>
      </c>
      <c r="E39" s="0" t="n">
        <v>5</v>
      </c>
      <c r="F39" s="4" t="n">
        <v>2309</v>
      </c>
      <c r="G39" s="4" t="n">
        <f aca="false">E39*F39</f>
        <v>11545</v>
      </c>
      <c r="H39" s="0" t="str">
        <f aca="false">TEXT(A39,"mmm-yy")</f>
        <v>Jan-26</v>
      </c>
    </row>
    <row r="40" customFormat="false" ht="15" hidden="false" customHeight="false" outlineLevel="0" collapsed="false">
      <c r="A40" s="2" t="n">
        <v>46043</v>
      </c>
      <c r="B40" s="3" t="s">
        <v>24</v>
      </c>
      <c r="C40" s="3" t="s">
        <v>20</v>
      </c>
      <c r="D40" s="3" t="s">
        <v>23</v>
      </c>
      <c r="E40" s="0" t="n">
        <v>2</v>
      </c>
      <c r="F40" s="4" t="n">
        <v>623</v>
      </c>
      <c r="G40" s="4" t="n">
        <f aca="false">E40*F40</f>
        <v>1246</v>
      </c>
      <c r="H40" s="0" t="str">
        <f aca="false">TEXT(A40,"mmm-yy")</f>
        <v>Jan-26</v>
      </c>
    </row>
    <row r="41" customFormat="false" ht="15" hidden="false" customHeight="false" outlineLevel="0" collapsed="false">
      <c r="A41" s="2" t="n">
        <v>46043</v>
      </c>
      <c r="B41" s="3" t="s">
        <v>28</v>
      </c>
      <c r="C41" s="3" t="s">
        <v>20</v>
      </c>
      <c r="D41" s="3" t="s">
        <v>18</v>
      </c>
      <c r="E41" s="0" t="n">
        <v>3</v>
      </c>
      <c r="F41" s="4" t="n">
        <v>1834</v>
      </c>
      <c r="G41" s="4" t="n">
        <f aca="false">E41*F41</f>
        <v>5502</v>
      </c>
      <c r="H41" s="0" t="str">
        <f aca="false">TEXT(A41,"mmm-yy")</f>
        <v>Jan-26</v>
      </c>
    </row>
    <row r="42" customFormat="false" ht="15" hidden="false" customHeight="false" outlineLevel="0" collapsed="false">
      <c r="A42" s="2" t="n">
        <v>46044</v>
      </c>
      <c r="B42" s="3" t="s">
        <v>22</v>
      </c>
      <c r="C42" s="3" t="s">
        <v>9</v>
      </c>
      <c r="D42" s="3" t="s">
        <v>23</v>
      </c>
      <c r="E42" s="0" t="n">
        <v>1</v>
      </c>
      <c r="F42" s="4" t="n">
        <v>3358</v>
      </c>
      <c r="G42" s="4" t="n">
        <f aca="false">E42*F42</f>
        <v>3358</v>
      </c>
      <c r="H42" s="0" t="str">
        <f aca="false">TEXT(A42,"mmm-yy")</f>
        <v>Jan-26</v>
      </c>
    </row>
    <row r="43" customFormat="false" ht="15" hidden="false" customHeight="false" outlineLevel="0" collapsed="false">
      <c r="A43" s="2" t="n">
        <v>46044</v>
      </c>
      <c r="B43" s="3" t="s">
        <v>8</v>
      </c>
      <c r="C43" s="3" t="s">
        <v>9</v>
      </c>
      <c r="D43" s="3" t="s">
        <v>10</v>
      </c>
      <c r="E43" s="0" t="n">
        <v>2</v>
      </c>
      <c r="F43" s="4" t="n">
        <v>1926</v>
      </c>
      <c r="G43" s="4" t="n">
        <f aca="false">E43*F43</f>
        <v>3852</v>
      </c>
      <c r="H43" s="0" t="str">
        <f aca="false">TEXT(A43,"mmm-yy")</f>
        <v>Jan-26</v>
      </c>
    </row>
    <row r="44" customFormat="false" ht="15" hidden="false" customHeight="false" outlineLevel="0" collapsed="false">
      <c r="A44" s="2" t="n">
        <v>46044</v>
      </c>
      <c r="B44" s="3" t="s">
        <v>8</v>
      </c>
      <c r="C44" s="3" t="s">
        <v>9</v>
      </c>
      <c r="D44" s="3" t="s">
        <v>10</v>
      </c>
      <c r="E44" s="0" t="n">
        <v>1</v>
      </c>
      <c r="F44" s="4" t="n">
        <v>1769</v>
      </c>
      <c r="G44" s="4" t="n">
        <f aca="false">E44*F44</f>
        <v>1769</v>
      </c>
      <c r="H44" s="0" t="str">
        <f aca="false">TEXT(A44,"mmm-yy")</f>
        <v>Jan-26</v>
      </c>
    </row>
    <row r="45" customFormat="false" ht="15" hidden="false" customHeight="false" outlineLevel="0" collapsed="false">
      <c r="A45" s="2" t="n">
        <v>46044</v>
      </c>
      <c r="B45" s="3" t="s">
        <v>22</v>
      </c>
      <c r="C45" s="3" t="s">
        <v>9</v>
      </c>
      <c r="D45" s="3" t="s">
        <v>13</v>
      </c>
      <c r="E45" s="0" t="n">
        <v>3</v>
      </c>
      <c r="F45" s="4" t="n">
        <v>3726</v>
      </c>
      <c r="G45" s="4" t="n">
        <f aca="false">E45*F45</f>
        <v>11178</v>
      </c>
      <c r="H45" s="0" t="str">
        <f aca="false">TEXT(A45,"mmm-yy")</f>
        <v>Jan-26</v>
      </c>
    </row>
    <row r="46" customFormat="false" ht="15" hidden="false" customHeight="false" outlineLevel="0" collapsed="false">
      <c r="A46" s="2" t="n">
        <v>46045</v>
      </c>
      <c r="B46" s="3" t="s">
        <v>29</v>
      </c>
      <c r="C46" s="3" t="s">
        <v>17</v>
      </c>
      <c r="D46" s="3" t="s">
        <v>10</v>
      </c>
      <c r="E46" s="0" t="n">
        <v>2</v>
      </c>
      <c r="F46" s="4" t="n">
        <v>2361</v>
      </c>
      <c r="G46" s="4" t="n">
        <f aca="false">E46*F46</f>
        <v>4722</v>
      </c>
      <c r="H46" s="0" t="str">
        <f aca="false">TEXT(A46,"mmm-yy")</f>
        <v>Jan-26</v>
      </c>
    </row>
    <row r="47" customFormat="false" ht="15" hidden="false" customHeight="false" outlineLevel="0" collapsed="false">
      <c r="A47" s="2" t="n">
        <v>46045</v>
      </c>
      <c r="B47" s="3" t="s">
        <v>11</v>
      </c>
      <c r="C47" s="3" t="s">
        <v>12</v>
      </c>
      <c r="D47" s="3" t="s">
        <v>18</v>
      </c>
      <c r="E47" s="0" t="n">
        <v>5</v>
      </c>
      <c r="F47" s="4" t="n">
        <v>694</v>
      </c>
      <c r="G47" s="4" t="n">
        <f aca="false">E47*F47</f>
        <v>3470</v>
      </c>
      <c r="H47" s="0" t="str">
        <f aca="false">TEXT(A47,"mmm-yy")</f>
        <v>Jan-26</v>
      </c>
    </row>
    <row r="48" customFormat="false" ht="15" hidden="false" customHeight="false" outlineLevel="0" collapsed="false">
      <c r="A48" s="2" t="n">
        <v>46046</v>
      </c>
      <c r="B48" s="3" t="s">
        <v>21</v>
      </c>
      <c r="C48" s="3" t="s">
        <v>12</v>
      </c>
      <c r="D48" s="3" t="s">
        <v>10</v>
      </c>
      <c r="E48" s="0" t="n">
        <v>4</v>
      </c>
      <c r="F48" s="4" t="n">
        <v>397</v>
      </c>
      <c r="G48" s="4" t="n">
        <f aca="false">E48*F48</f>
        <v>1588</v>
      </c>
      <c r="H48" s="0" t="str">
        <f aca="false">TEXT(A48,"mmm-yy")</f>
        <v>Jan-26</v>
      </c>
    </row>
    <row r="49" customFormat="false" ht="15" hidden="false" customHeight="false" outlineLevel="0" collapsed="false">
      <c r="A49" s="2" t="n">
        <v>46046</v>
      </c>
      <c r="B49" s="3" t="s">
        <v>22</v>
      </c>
      <c r="C49" s="3" t="s">
        <v>9</v>
      </c>
      <c r="D49" s="3" t="s">
        <v>23</v>
      </c>
      <c r="E49" s="0" t="n">
        <v>4</v>
      </c>
      <c r="F49" s="4" t="n">
        <v>3273</v>
      </c>
      <c r="G49" s="4" t="n">
        <f aca="false">E49*F49</f>
        <v>13092</v>
      </c>
      <c r="H49" s="0" t="str">
        <f aca="false">TEXT(A49,"mmm-yy")</f>
        <v>Jan-26</v>
      </c>
    </row>
    <row r="50" customFormat="false" ht="15" hidden="false" customHeight="false" outlineLevel="0" collapsed="false">
      <c r="A50" s="2" t="n">
        <v>46047</v>
      </c>
      <c r="B50" s="3" t="s">
        <v>28</v>
      </c>
      <c r="C50" s="3" t="s">
        <v>20</v>
      </c>
      <c r="D50" s="3" t="s">
        <v>13</v>
      </c>
      <c r="E50" s="0" t="n">
        <v>1</v>
      </c>
      <c r="F50" s="4" t="n">
        <v>1690</v>
      </c>
      <c r="G50" s="4" t="n">
        <f aca="false">E50*F50</f>
        <v>1690</v>
      </c>
      <c r="H50" s="0" t="str">
        <f aca="false">TEXT(A50,"mmm-yy")</f>
        <v>Jan-26</v>
      </c>
    </row>
    <row r="51" customFormat="false" ht="15" hidden="false" customHeight="false" outlineLevel="0" collapsed="false">
      <c r="A51" s="2" t="n">
        <v>46047</v>
      </c>
      <c r="B51" s="3" t="s">
        <v>8</v>
      </c>
      <c r="C51" s="3" t="s">
        <v>9</v>
      </c>
      <c r="D51" s="3" t="s">
        <v>13</v>
      </c>
      <c r="E51" s="0" t="n">
        <v>3</v>
      </c>
      <c r="F51" s="4" t="n">
        <v>1869</v>
      </c>
      <c r="G51" s="4" t="n">
        <f aca="false">E51*F51</f>
        <v>5607</v>
      </c>
      <c r="H51" s="0" t="str">
        <f aca="false">TEXT(A51,"mmm-yy")</f>
        <v>Jan-26</v>
      </c>
    </row>
    <row r="52" customFormat="false" ht="15" hidden="false" customHeight="false" outlineLevel="0" collapsed="false">
      <c r="A52" s="2" t="n">
        <v>46047</v>
      </c>
      <c r="B52" s="3" t="s">
        <v>16</v>
      </c>
      <c r="C52" s="3" t="s">
        <v>17</v>
      </c>
      <c r="D52" s="3" t="s">
        <v>18</v>
      </c>
      <c r="E52" s="0" t="n">
        <v>5</v>
      </c>
      <c r="F52" s="4" t="n">
        <v>474</v>
      </c>
      <c r="G52" s="4" t="n">
        <f aca="false">E52*F52</f>
        <v>2370</v>
      </c>
      <c r="H52" s="0" t="str">
        <f aca="false">TEXT(A52,"mmm-yy")</f>
        <v>Jan-26</v>
      </c>
    </row>
    <row r="53" customFormat="false" ht="15" hidden="false" customHeight="false" outlineLevel="0" collapsed="false">
      <c r="A53" s="2" t="n">
        <v>46047</v>
      </c>
      <c r="B53" s="3" t="s">
        <v>27</v>
      </c>
      <c r="C53" s="3" t="s">
        <v>9</v>
      </c>
      <c r="D53" s="3" t="s">
        <v>18</v>
      </c>
      <c r="E53" s="0" t="n">
        <v>3</v>
      </c>
      <c r="F53" s="4" t="n">
        <v>1480</v>
      </c>
      <c r="G53" s="4" t="n">
        <f aca="false">E53*F53</f>
        <v>4440</v>
      </c>
      <c r="H53" s="0" t="str">
        <f aca="false">TEXT(A53,"mmm-yy")</f>
        <v>Jan-26</v>
      </c>
    </row>
    <row r="54" customFormat="false" ht="15" hidden="false" customHeight="false" outlineLevel="0" collapsed="false">
      <c r="A54" s="2" t="n">
        <v>46048</v>
      </c>
      <c r="B54" s="3" t="s">
        <v>22</v>
      </c>
      <c r="C54" s="3" t="s">
        <v>9</v>
      </c>
      <c r="D54" s="3" t="s">
        <v>13</v>
      </c>
      <c r="E54" s="0" t="n">
        <v>5</v>
      </c>
      <c r="F54" s="4" t="n">
        <v>3467</v>
      </c>
      <c r="G54" s="4" t="n">
        <f aca="false">E54*F54</f>
        <v>17335</v>
      </c>
      <c r="H54" s="0" t="str">
        <f aca="false">TEXT(A54,"mmm-yy")</f>
        <v>Jan-26</v>
      </c>
    </row>
    <row r="55" customFormat="false" ht="15" hidden="false" customHeight="false" outlineLevel="0" collapsed="false">
      <c r="A55" s="2" t="n">
        <v>46048</v>
      </c>
      <c r="B55" s="3" t="s">
        <v>8</v>
      </c>
      <c r="C55" s="3" t="s">
        <v>9</v>
      </c>
      <c r="D55" s="3" t="s">
        <v>13</v>
      </c>
      <c r="E55" s="0" t="n">
        <v>5</v>
      </c>
      <c r="F55" s="4" t="n">
        <v>1945</v>
      </c>
      <c r="G55" s="4" t="n">
        <f aca="false">E55*F55</f>
        <v>9725</v>
      </c>
      <c r="H55" s="0" t="str">
        <f aca="false">TEXT(A55,"mmm-yy")</f>
        <v>Jan-26</v>
      </c>
    </row>
    <row r="56" customFormat="false" ht="15" hidden="false" customHeight="false" outlineLevel="0" collapsed="false">
      <c r="A56" s="2" t="n">
        <v>46049</v>
      </c>
      <c r="B56" s="3" t="s">
        <v>21</v>
      </c>
      <c r="C56" s="3" t="s">
        <v>12</v>
      </c>
      <c r="D56" s="3" t="s">
        <v>18</v>
      </c>
      <c r="E56" s="0" t="n">
        <v>2</v>
      </c>
      <c r="F56" s="4" t="n">
        <v>421</v>
      </c>
      <c r="G56" s="4" t="n">
        <f aca="false">E56*F56</f>
        <v>842</v>
      </c>
      <c r="H56" s="0" t="str">
        <f aca="false">TEXT(A56,"mmm-yy")</f>
        <v>Jan-26</v>
      </c>
    </row>
    <row r="57" customFormat="false" ht="15" hidden="false" customHeight="false" outlineLevel="0" collapsed="false">
      <c r="A57" s="2" t="n">
        <v>46050</v>
      </c>
      <c r="B57" s="3" t="s">
        <v>19</v>
      </c>
      <c r="C57" s="3" t="s">
        <v>20</v>
      </c>
      <c r="D57" s="3" t="s">
        <v>13</v>
      </c>
      <c r="E57" s="0" t="n">
        <v>4</v>
      </c>
      <c r="F57" s="4" t="n">
        <v>858</v>
      </c>
      <c r="G57" s="4" t="n">
        <f aca="false">E57*F57</f>
        <v>3432</v>
      </c>
      <c r="H57" s="0" t="str">
        <f aca="false">TEXT(A57,"mmm-yy")</f>
        <v>Jan-26</v>
      </c>
    </row>
    <row r="58" customFormat="false" ht="15" hidden="false" customHeight="false" outlineLevel="0" collapsed="false">
      <c r="A58" s="2" t="n">
        <v>46050</v>
      </c>
      <c r="B58" s="3" t="s">
        <v>27</v>
      </c>
      <c r="C58" s="3" t="s">
        <v>9</v>
      </c>
      <c r="D58" s="3" t="s">
        <v>23</v>
      </c>
      <c r="E58" s="0" t="n">
        <v>4</v>
      </c>
      <c r="F58" s="4" t="n">
        <v>1470</v>
      </c>
      <c r="G58" s="4" t="n">
        <f aca="false">E58*F58</f>
        <v>5880</v>
      </c>
      <c r="H58" s="0" t="str">
        <f aca="false">TEXT(A58,"mmm-yy")</f>
        <v>Jan-26</v>
      </c>
    </row>
    <row r="59" customFormat="false" ht="15" hidden="false" customHeight="false" outlineLevel="0" collapsed="false">
      <c r="A59" s="2" t="n">
        <v>46050</v>
      </c>
      <c r="B59" s="3" t="s">
        <v>21</v>
      </c>
      <c r="C59" s="3" t="s">
        <v>12</v>
      </c>
      <c r="D59" s="3" t="s">
        <v>18</v>
      </c>
      <c r="E59" s="0" t="n">
        <v>3</v>
      </c>
      <c r="F59" s="4" t="n">
        <v>417</v>
      </c>
      <c r="G59" s="4" t="n">
        <f aca="false">E59*F59</f>
        <v>1251</v>
      </c>
      <c r="H59" s="0" t="str">
        <f aca="false">TEXT(A59,"mmm-yy")</f>
        <v>Jan-26</v>
      </c>
    </row>
    <row r="60" customFormat="false" ht="15" hidden="false" customHeight="false" outlineLevel="0" collapsed="false">
      <c r="A60" s="2" t="n">
        <v>46050</v>
      </c>
      <c r="B60" s="3" t="s">
        <v>11</v>
      </c>
      <c r="C60" s="3" t="s">
        <v>12</v>
      </c>
      <c r="D60" s="3" t="s">
        <v>18</v>
      </c>
      <c r="E60" s="0" t="n">
        <v>5</v>
      </c>
      <c r="F60" s="4" t="n">
        <v>696</v>
      </c>
      <c r="G60" s="4" t="n">
        <f aca="false">E60*F60</f>
        <v>3480</v>
      </c>
      <c r="H60" s="0" t="str">
        <f aca="false">TEXT(A60,"mmm-yy")</f>
        <v>Jan-26</v>
      </c>
    </row>
    <row r="61" customFormat="false" ht="15" hidden="false" customHeight="false" outlineLevel="0" collapsed="false">
      <c r="A61" s="2" t="n">
        <v>46051</v>
      </c>
      <c r="B61" s="3" t="s">
        <v>16</v>
      </c>
      <c r="C61" s="3" t="s">
        <v>17</v>
      </c>
      <c r="D61" s="3" t="s">
        <v>13</v>
      </c>
      <c r="E61" s="0" t="n">
        <v>1</v>
      </c>
      <c r="F61" s="4" t="n">
        <v>483</v>
      </c>
      <c r="G61" s="4" t="n">
        <f aca="false">E61*F61</f>
        <v>483</v>
      </c>
      <c r="H61" s="0" t="str">
        <f aca="false">TEXT(A61,"mmm-yy")</f>
        <v>Jan-26</v>
      </c>
    </row>
    <row r="62" customFormat="false" ht="15" hidden="false" customHeight="false" outlineLevel="0" collapsed="false">
      <c r="A62" s="2" t="n">
        <v>46051</v>
      </c>
      <c r="B62" s="3" t="s">
        <v>11</v>
      </c>
      <c r="C62" s="3" t="s">
        <v>12</v>
      </c>
      <c r="D62" s="3" t="s">
        <v>18</v>
      </c>
      <c r="E62" s="0" t="n">
        <v>1</v>
      </c>
      <c r="F62" s="4" t="n">
        <v>630</v>
      </c>
      <c r="G62" s="4" t="n">
        <f aca="false">E62*F62</f>
        <v>630</v>
      </c>
      <c r="H62" s="0" t="str">
        <f aca="false">TEXT(A62,"mmm-yy")</f>
        <v>Jan-26</v>
      </c>
    </row>
    <row r="63" customFormat="false" ht="15" hidden="false" customHeight="false" outlineLevel="0" collapsed="false">
      <c r="A63" s="2" t="n">
        <v>46052</v>
      </c>
      <c r="B63" s="3" t="s">
        <v>8</v>
      </c>
      <c r="C63" s="3" t="s">
        <v>9</v>
      </c>
      <c r="D63" s="3" t="s">
        <v>10</v>
      </c>
      <c r="E63" s="0" t="n">
        <v>1</v>
      </c>
      <c r="F63" s="4" t="n">
        <v>2039</v>
      </c>
      <c r="G63" s="4" t="n">
        <f aca="false">E63*F63</f>
        <v>2039</v>
      </c>
      <c r="H63" s="0" t="str">
        <f aca="false">TEXT(A63,"mmm-yy")</f>
        <v>Jan-26</v>
      </c>
    </row>
    <row r="64" customFormat="false" ht="15" hidden="false" customHeight="false" outlineLevel="0" collapsed="false">
      <c r="A64" s="2" t="n">
        <v>46052</v>
      </c>
      <c r="B64" s="3" t="s">
        <v>22</v>
      </c>
      <c r="C64" s="3" t="s">
        <v>9</v>
      </c>
      <c r="D64" s="3" t="s">
        <v>18</v>
      </c>
      <c r="E64" s="0" t="n">
        <v>2</v>
      </c>
      <c r="F64" s="4" t="n">
        <v>3552</v>
      </c>
      <c r="G64" s="4" t="n">
        <f aca="false">E64*F64</f>
        <v>7104</v>
      </c>
      <c r="H64" s="0" t="str">
        <f aca="false">TEXT(A64,"mmm-yy")</f>
        <v>Jan-26</v>
      </c>
    </row>
    <row r="65" customFormat="false" ht="15" hidden="false" customHeight="false" outlineLevel="0" collapsed="false">
      <c r="A65" s="2" t="n">
        <v>46053</v>
      </c>
      <c r="B65" s="3" t="s">
        <v>14</v>
      </c>
      <c r="C65" s="3" t="s">
        <v>15</v>
      </c>
      <c r="D65" s="3" t="s">
        <v>13</v>
      </c>
      <c r="E65" s="0" t="n">
        <v>5</v>
      </c>
      <c r="F65" s="4" t="n">
        <v>767</v>
      </c>
      <c r="G65" s="4" t="n">
        <f aca="false">E65*F65</f>
        <v>3835</v>
      </c>
      <c r="H65" s="0" t="str">
        <f aca="false">TEXT(A65,"mmm-yy")</f>
        <v>Jan-26</v>
      </c>
    </row>
    <row r="66" customFormat="false" ht="15" hidden="false" customHeight="false" outlineLevel="0" collapsed="false">
      <c r="A66" s="2" t="n">
        <v>46054</v>
      </c>
      <c r="B66" s="3" t="s">
        <v>28</v>
      </c>
      <c r="C66" s="3" t="s">
        <v>20</v>
      </c>
      <c r="D66" s="3" t="s">
        <v>23</v>
      </c>
      <c r="E66" s="0" t="n">
        <v>5</v>
      </c>
      <c r="F66" s="4" t="n">
        <v>1742</v>
      </c>
      <c r="G66" s="4" t="n">
        <f aca="false">E66*F66</f>
        <v>8710</v>
      </c>
      <c r="H66" s="0" t="str">
        <f aca="false">TEXT(A66,"mmm-yy")</f>
        <v>Feb-26</v>
      </c>
    </row>
    <row r="67" customFormat="false" ht="15" hidden="false" customHeight="false" outlineLevel="0" collapsed="false">
      <c r="A67" s="2" t="n">
        <v>46055</v>
      </c>
      <c r="B67" s="3" t="s">
        <v>16</v>
      </c>
      <c r="C67" s="3" t="s">
        <v>17</v>
      </c>
      <c r="D67" s="3" t="s">
        <v>10</v>
      </c>
      <c r="E67" s="0" t="n">
        <v>3</v>
      </c>
      <c r="F67" s="4" t="n">
        <v>513</v>
      </c>
      <c r="G67" s="4" t="n">
        <f aca="false">E67*F67</f>
        <v>1539</v>
      </c>
      <c r="H67" s="0" t="str">
        <f aca="false">TEXT(A67,"mmm-yy")</f>
        <v>Feb-26</v>
      </c>
    </row>
    <row r="68" customFormat="false" ht="15" hidden="false" customHeight="false" outlineLevel="0" collapsed="false">
      <c r="A68" s="2" t="n">
        <v>46055</v>
      </c>
      <c r="B68" s="3" t="s">
        <v>29</v>
      </c>
      <c r="C68" s="3" t="s">
        <v>17</v>
      </c>
      <c r="D68" s="3" t="s">
        <v>18</v>
      </c>
      <c r="E68" s="0" t="n">
        <v>3</v>
      </c>
      <c r="F68" s="4" t="n">
        <v>2261</v>
      </c>
      <c r="G68" s="4" t="n">
        <f aca="false">E68*F68</f>
        <v>6783</v>
      </c>
      <c r="H68" s="0" t="str">
        <f aca="false">TEXT(A68,"mmm-yy")</f>
        <v>Feb-26</v>
      </c>
    </row>
    <row r="69" customFormat="false" ht="15" hidden="false" customHeight="false" outlineLevel="0" collapsed="false">
      <c r="A69" s="2" t="n">
        <v>46055</v>
      </c>
      <c r="B69" s="3" t="s">
        <v>25</v>
      </c>
      <c r="C69" s="3" t="s">
        <v>17</v>
      </c>
      <c r="D69" s="3" t="s">
        <v>13</v>
      </c>
      <c r="E69" s="0" t="n">
        <v>1</v>
      </c>
      <c r="F69" s="4" t="n">
        <v>2991</v>
      </c>
      <c r="G69" s="4" t="n">
        <f aca="false">E69*F69</f>
        <v>2991</v>
      </c>
      <c r="H69" s="0" t="str">
        <f aca="false">TEXT(A69,"mmm-yy")</f>
        <v>Feb-26</v>
      </c>
    </row>
    <row r="70" customFormat="false" ht="15" hidden="false" customHeight="false" outlineLevel="0" collapsed="false">
      <c r="A70" s="2" t="n">
        <v>46056</v>
      </c>
      <c r="B70" s="3" t="s">
        <v>14</v>
      </c>
      <c r="C70" s="3" t="s">
        <v>15</v>
      </c>
      <c r="D70" s="3" t="s">
        <v>13</v>
      </c>
      <c r="E70" s="0" t="n">
        <v>1</v>
      </c>
      <c r="F70" s="4" t="n">
        <v>863</v>
      </c>
      <c r="G70" s="4" t="n">
        <f aca="false">E70*F70</f>
        <v>863</v>
      </c>
      <c r="H70" s="0" t="str">
        <f aca="false">TEXT(A70,"mmm-yy")</f>
        <v>Feb-26</v>
      </c>
    </row>
    <row r="71" customFormat="false" ht="15" hidden="false" customHeight="false" outlineLevel="0" collapsed="false">
      <c r="A71" s="2" t="n">
        <v>46056</v>
      </c>
      <c r="B71" s="3" t="s">
        <v>24</v>
      </c>
      <c r="C71" s="3" t="s">
        <v>20</v>
      </c>
      <c r="D71" s="3" t="s">
        <v>10</v>
      </c>
      <c r="E71" s="0" t="n">
        <v>3</v>
      </c>
      <c r="F71" s="4" t="n">
        <v>572</v>
      </c>
      <c r="G71" s="4" t="n">
        <f aca="false">E71*F71</f>
        <v>1716</v>
      </c>
      <c r="H71" s="0" t="str">
        <f aca="false">TEXT(A71,"mmm-yy")</f>
        <v>Feb-26</v>
      </c>
    </row>
    <row r="72" customFormat="false" ht="15" hidden="false" customHeight="false" outlineLevel="0" collapsed="false">
      <c r="A72" s="2" t="n">
        <v>46056</v>
      </c>
      <c r="B72" s="3" t="s">
        <v>25</v>
      </c>
      <c r="C72" s="3" t="s">
        <v>17</v>
      </c>
      <c r="D72" s="3" t="s">
        <v>23</v>
      </c>
      <c r="E72" s="0" t="n">
        <v>2</v>
      </c>
      <c r="F72" s="4" t="n">
        <v>2970</v>
      </c>
      <c r="G72" s="4" t="n">
        <f aca="false">E72*F72</f>
        <v>5940</v>
      </c>
      <c r="H72" s="0" t="str">
        <f aca="false">TEXT(A72,"mmm-yy")</f>
        <v>Feb-26</v>
      </c>
    </row>
    <row r="73" customFormat="false" ht="15" hidden="false" customHeight="false" outlineLevel="0" collapsed="false">
      <c r="A73" s="2" t="n">
        <v>46056</v>
      </c>
      <c r="B73" s="3" t="s">
        <v>29</v>
      </c>
      <c r="C73" s="3" t="s">
        <v>17</v>
      </c>
      <c r="D73" s="3" t="s">
        <v>23</v>
      </c>
      <c r="E73" s="0" t="n">
        <v>5</v>
      </c>
      <c r="F73" s="4" t="n">
        <v>2173</v>
      </c>
      <c r="G73" s="4" t="n">
        <f aca="false">E73*F73</f>
        <v>10865</v>
      </c>
      <c r="H73" s="0" t="str">
        <f aca="false">TEXT(A73,"mmm-yy")</f>
        <v>Feb-26</v>
      </c>
    </row>
    <row r="74" customFormat="false" ht="15" hidden="false" customHeight="false" outlineLevel="0" collapsed="false">
      <c r="A74" s="2" t="n">
        <v>46057</v>
      </c>
      <c r="B74" s="3" t="s">
        <v>26</v>
      </c>
      <c r="C74" s="3" t="s">
        <v>15</v>
      </c>
      <c r="D74" s="3" t="s">
        <v>13</v>
      </c>
      <c r="E74" s="0" t="n">
        <v>3</v>
      </c>
      <c r="F74" s="4" t="n">
        <v>367</v>
      </c>
      <c r="G74" s="4" t="n">
        <f aca="false">E74*F74</f>
        <v>1101</v>
      </c>
      <c r="H74" s="0" t="str">
        <f aca="false">TEXT(A74,"mmm-yy")</f>
        <v>Feb-26</v>
      </c>
    </row>
    <row r="75" customFormat="false" ht="15" hidden="false" customHeight="false" outlineLevel="0" collapsed="false">
      <c r="A75" s="2" t="n">
        <v>46058</v>
      </c>
      <c r="B75" s="3" t="s">
        <v>29</v>
      </c>
      <c r="C75" s="3" t="s">
        <v>17</v>
      </c>
      <c r="D75" s="3" t="s">
        <v>10</v>
      </c>
      <c r="E75" s="0" t="n">
        <v>1</v>
      </c>
      <c r="F75" s="4" t="n">
        <v>2158</v>
      </c>
      <c r="G75" s="4" t="n">
        <f aca="false">E75*F75</f>
        <v>2158</v>
      </c>
      <c r="H75" s="0" t="str">
        <f aca="false">TEXT(A75,"mmm-yy")</f>
        <v>Feb-26</v>
      </c>
    </row>
    <row r="76" customFormat="false" ht="15" hidden="false" customHeight="false" outlineLevel="0" collapsed="false">
      <c r="A76" s="2" t="n">
        <v>46058</v>
      </c>
      <c r="B76" s="3" t="s">
        <v>29</v>
      </c>
      <c r="C76" s="3" t="s">
        <v>17</v>
      </c>
      <c r="D76" s="3" t="s">
        <v>23</v>
      </c>
      <c r="E76" s="0" t="n">
        <v>2</v>
      </c>
      <c r="F76" s="4" t="n">
        <v>2219</v>
      </c>
      <c r="G76" s="4" t="n">
        <f aca="false">E76*F76</f>
        <v>4438</v>
      </c>
      <c r="H76" s="0" t="str">
        <f aca="false">TEXT(A76,"mmm-yy")</f>
        <v>Feb-26</v>
      </c>
    </row>
    <row r="77" customFormat="false" ht="15" hidden="false" customHeight="false" outlineLevel="0" collapsed="false">
      <c r="A77" s="2" t="n">
        <v>46059</v>
      </c>
      <c r="B77" s="3" t="s">
        <v>26</v>
      </c>
      <c r="C77" s="3" t="s">
        <v>15</v>
      </c>
      <c r="D77" s="3" t="s">
        <v>18</v>
      </c>
      <c r="E77" s="0" t="n">
        <v>3</v>
      </c>
      <c r="F77" s="4" t="n">
        <v>356</v>
      </c>
      <c r="G77" s="4" t="n">
        <f aca="false">E77*F77</f>
        <v>1068</v>
      </c>
      <c r="H77" s="0" t="str">
        <f aca="false">TEXT(A77,"mmm-yy")</f>
        <v>Feb-26</v>
      </c>
    </row>
    <row r="78" customFormat="false" ht="15" hidden="false" customHeight="false" outlineLevel="0" collapsed="false">
      <c r="A78" s="2" t="n">
        <v>46059</v>
      </c>
      <c r="B78" s="3" t="s">
        <v>29</v>
      </c>
      <c r="C78" s="3" t="s">
        <v>17</v>
      </c>
      <c r="D78" s="3" t="s">
        <v>13</v>
      </c>
      <c r="E78" s="0" t="n">
        <v>1</v>
      </c>
      <c r="F78" s="4" t="n">
        <v>2448</v>
      </c>
      <c r="G78" s="4" t="n">
        <f aca="false">E78*F78</f>
        <v>2448</v>
      </c>
      <c r="H78" s="0" t="str">
        <f aca="false">TEXT(A78,"mmm-yy")</f>
        <v>Feb-26</v>
      </c>
    </row>
    <row r="79" customFormat="false" ht="15" hidden="false" customHeight="false" outlineLevel="0" collapsed="false">
      <c r="A79" s="2" t="n">
        <v>46060</v>
      </c>
      <c r="B79" s="3" t="s">
        <v>29</v>
      </c>
      <c r="C79" s="3" t="s">
        <v>17</v>
      </c>
      <c r="D79" s="3" t="s">
        <v>10</v>
      </c>
      <c r="E79" s="0" t="n">
        <v>3</v>
      </c>
      <c r="F79" s="4" t="n">
        <v>2131</v>
      </c>
      <c r="G79" s="4" t="n">
        <f aca="false">E79*F79</f>
        <v>6393</v>
      </c>
      <c r="H79" s="0" t="str">
        <f aca="false">TEXT(A79,"mmm-yy")</f>
        <v>Feb-26</v>
      </c>
    </row>
    <row r="80" customFormat="false" ht="15" hidden="false" customHeight="false" outlineLevel="0" collapsed="false">
      <c r="A80" s="2" t="n">
        <v>46060</v>
      </c>
      <c r="B80" s="3" t="s">
        <v>26</v>
      </c>
      <c r="C80" s="3" t="s">
        <v>15</v>
      </c>
      <c r="D80" s="3" t="s">
        <v>18</v>
      </c>
      <c r="E80" s="0" t="n">
        <v>2</v>
      </c>
      <c r="F80" s="4" t="n">
        <v>376</v>
      </c>
      <c r="G80" s="4" t="n">
        <f aca="false">E80*F80</f>
        <v>752</v>
      </c>
      <c r="H80" s="0" t="str">
        <f aca="false">TEXT(A80,"mmm-yy")</f>
        <v>Feb-26</v>
      </c>
    </row>
    <row r="81" customFormat="false" ht="15" hidden="false" customHeight="false" outlineLevel="0" collapsed="false">
      <c r="A81" s="2" t="n">
        <v>46060</v>
      </c>
      <c r="B81" s="3" t="s">
        <v>24</v>
      </c>
      <c r="C81" s="3" t="s">
        <v>20</v>
      </c>
      <c r="D81" s="3" t="s">
        <v>13</v>
      </c>
      <c r="E81" s="0" t="n">
        <v>5</v>
      </c>
      <c r="F81" s="4" t="n">
        <v>619</v>
      </c>
      <c r="G81" s="4" t="n">
        <f aca="false">E81*F81</f>
        <v>3095</v>
      </c>
      <c r="H81" s="0" t="str">
        <f aca="false">TEXT(A81,"mmm-yy")</f>
        <v>Feb-26</v>
      </c>
    </row>
    <row r="82" customFormat="false" ht="15" hidden="false" customHeight="false" outlineLevel="0" collapsed="false">
      <c r="A82" s="2" t="n">
        <v>46060</v>
      </c>
      <c r="B82" s="3" t="s">
        <v>22</v>
      </c>
      <c r="C82" s="3" t="s">
        <v>9</v>
      </c>
      <c r="D82" s="3" t="s">
        <v>13</v>
      </c>
      <c r="E82" s="0" t="n">
        <v>2</v>
      </c>
      <c r="F82" s="4" t="n">
        <v>3261</v>
      </c>
      <c r="G82" s="4" t="n">
        <f aca="false">E82*F82</f>
        <v>6522</v>
      </c>
      <c r="H82" s="0" t="str">
        <f aca="false">TEXT(A82,"mmm-yy")</f>
        <v>Feb-26</v>
      </c>
    </row>
    <row r="83" customFormat="false" ht="15" hidden="false" customHeight="false" outlineLevel="0" collapsed="false">
      <c r="A83" s="2" t="n">
        <v>46061</v>
      </c>
      <c r="B83" s="3" t="s">
        <v>14</v>
      </c>
      <c r="C83" s="3" t="s">
        <v>15</v>
      </c>
      <c r="D83" s="3" t="s">
        <v>10</v>
      </c>
      <c r="E83" s="0" t="n">
        <v>4</v>
      </c>
      <c r="F83" s="4" t="n">
        <v>806</v>
      </c>
      <c r="G83" s="4" t="n">
        <f aca="false">E83*F83</f>
        <v>3224</v>
      </c>
      <c r="H83" s="0" t="str">
        <f aca="false">TEXT(A83,"mmm-yy")</f>
        <v>Feb-26</v>
      </c>
    </row>
    <row r="84" customFormat="false" ht="15" hidden="false" customHeight="false" outlineLevel="0" collapsed="false">
      <c r="A84" s="2" t="n">
        <v>46061</v>
      </c>
      <c r="B84" s="3" t="s">
        <v>8</v>
      </c>
      <c r="C84" s="3" t="s">
        <v>9</v>
      </c>
      <c r="D84" s="3" t="s">
        <v>23</v>
      </c>
      <c r="E84" s="0" t="n">
        <v>1</v>
      </c>
      <c r="F84" s="4" t="n">
        <v>1841</v>
      </c>
      <c r="G84" s="4" t="n">
        <f aca="false">E84*F84</f>
        <v>1841</v>
      </c>
      <c r="H84" s="0" t="str">
        <f aca="false">TEXT(A84,"mmm-yy")</f>
        <v>Feb-26</v>
      </c>
    </row>
    <row r="85" customFormat="false" ht="15" hidden="false" customHeight="false" outlineLevel="0" collapsed="false">
      <c r="A85" s="2" t="n">
        <v>46061</v>
      </c>
      <c r="B85" s="3" t="s">
        <v>16</v>
      </c>
      <c r="C85" s="3" t="s">
        <v>17</v>
      </c>
      <c r="D85" s="3" t="s">
        <v>23</v>
      </c>
      <c r="E85" s="0" t="n">
        <v>1</v>
      </c>
      <c r="F85" s="4" t="n">
        <v>514</v>
      </c>
      <c r="G85" s="4" t="n">
        <f aca="false">E85*F85</f>
        <v>514</v>
      </c>
      <c r="H85" s="0" t="str">
        <f aca="false">TEXT(A85,"mmm-yy")</f>
        <v>Feb-26</v>
      </c>
    </row>
    <row r="86" customFormat="false" ht="15" hidden="false" customHeight="false" outlineLevel="0" collapsed="false">
      <c r="A86" s="2" t="n">
        <v>46062</v>
      </c>
      <c r="B86" s="3" t="s">
        <v>14</v>
      </c>
      <c r="C86" s="3" t="s">
        <v>15</v>
      </c>
      <c r="D86" s="3" t="s">
        <v>10</v>
      </c>
      <c r="E86" s="0" t="n">
        <v>2</v>
      </c>
      <c r="F86" s="4" t="n">
        <v>831</v>
      </c>
      <c r="G86" s="4" t="n">
        <f aca="false">E86*F86</f>
        <v>1662</v>
      </c>
      <c r="H86" s="0" t="str">
        <f aca="false">TEXT(A86,"mmm-yy")</f>
        <v>Feb-26</v>
      </c>
    </row>
    <row r="87" customFormat="false" ht="15" hidden="false" customHeight="false" outlineLevel="0" collapsed="false">
      <c r="A87" s="2" t="n">
        <v>46062</v>
      </c>
      <c r="B87" s="3" t="s">
        <v>21</v>
      </c>
      <c r="C87" s="3" t="s">
        <v>12</v>
      </c>
      <c r="D87" s="3" t="s">
        <v>13</v>
      </c>
      <c r="E87" s="0" t="n">
        <v>4</v>
      </c>
      <c r="F87" s="4" t="n">
        <v>419</v>
      </c>
      <c r="G87" s="4" t="n">
        <f aca="false">E87*F87</f>
        <v>1676</v>
      </c>
      <c r="H87" s="0" t="str">
        <f aca="false">TEXT(A87,"mmm-yy")</f>
        <v>Feb-26</v>
      </c>
    </row>
    <row r="88" customFormat="false" ht="15" hidden="false" customHeight="false" outlineLevel="0" collapsed="false">
      <c r="A88" s="2" t="n">
        <v>46062</v>
      </c>
      <c r="B88" s="3" t="s">
        <v>27</v>
      </c>
      <c r="C88" s="3" t="s">
        <v>9</v>
      </c>
      <c r="D88" s="3" t="s">
        <v>18</v>
      </c>
      <c r="E88" s="0" t="n">
        <v>3</v>
      </c>
      <c r="F88" s="4" t="n">
        <v>1556</v>
      </c>
      <c r="G88" s="4" t="n">
        <f aca="false">E88*F88</f>
        <v>4668</v>
      </c>
      <c r="H88" s="0" t="str">
        <f aca="false">TEXT(A88,"mmm-yy")</f>
        <v>Feb-26</v>
      </c>
    </row>
    <row r="89" customFormat="false" ht="15" hidden="false" customHeight="false" outlineLevel="0" collapsed="false">
      <c r="A89" s="2" t="n">
        <v>46062</v>
      </c>
      <c r="B89" s="3" t="s">
        <v>21</v>
      </c>
      <c r="C89" s="3" t="s">
        <v>12</v>
      </c>
      <c r="D89" s="3" t="s">
        <v>23</v>
      </c>
      <c r="E89" s="0" t="n">
        <v>2</v>
      </c>
      <c r="F89" s="4" t="n">
        <v>410</v>
      </c>
      <c r="G89" s="4" t="n">
        <f aca="false">E89*F89</f>
        <v>820</v>
      </c>
      <c r="H89" s="0" t="str">
        <f aca="false">TEXT(A89,"mmm-yy")</f>
        <v>Feb-26</v>
      </c>
    </row>
    <row r="90" customFormat="false" ht="15" hidden="false" customHeight="false" outlineLevel="0" collapsed="false">
      <c r="A90" s="2" t="n">
        <v>46063</v>
      </c>
      <c r="B90" s="3" t="s">
        <v>21</v>
      </c>
      <c r="C90" s="3" t="s">
        <v>12</v>
      </c>
      <c r="D90" s="3" t="s">
        <v>13</v>
      </c>
      <c r="E90" s="0" t="n">
        <v>4</v>
      </c>
      <c r="F90" s="4" t="n">
        <v>412</v>
      </c>
      <c r="G90" s="4" t="n">
        <f aca="false">E90*F90</f>
        <v>1648</v>
      </c>
      <c r="H90" s="0" t="str">
        <f aca="false">TEXT(A90,"mmm-yy")</f>
        <v>Feb-26</v>
      </c>
    </row>
    <row r="91" customFormat="false" ht="15" hidden="false" customHeight="false" outlineLevel="0" collapsed="false">
      <c r="A91" s="2" t="n">
        <v>46063</v>
      </c>
      <c r="B91" s="3" t="s">
        <v>19</v>
      </c>
      <c r="C91" s="3" t="s">
        <v>20</v>
      </c>
      <c r="D91" s="3" t="s">
        <v>23</v>
      </c>
      <c r="E91" s="0" t="n">
        <v>4</v>
      </c>
      <c r="F91" s="4" t="n">
        <v>859</v>
      </c>
      <c r="G91" s="4" t="n">
        <f aca="false">E91*F91</f>
        <v>3436</v>
      </c>
      <c r="H91" s="0" t="str">
        <f aca="false">TEXT(A91,"mmm-yy")</f>
        <v>Feb-26</v>
      </c>
    </row>
    <row r="92" customFormat="false" ht="15" hidden="false" customHeight="false" outlineLevel="0" collapsed="false">
      <c r="A92" s="2" t="n">
        <v>46064</v>
      </c>
      <c r="B92" s="3" t="s">
        <v>21</v>
      </c>
      <c r="C92" s="3" t="s">
        <v>12</v>
      </c>
      <c r="D92" s="3" t="s">
        <v>13</v>
      </c>
      <c r="E92" s="0" t="n">
        <v>2</v>
      </c>
      <c r="F92" s="4" t="n">
        <v>423</v>
      </c>
      <c r="G92" s="4" t="n">
        <f aca="false">E92*F92</f>
        <v>846</v>
      </c>
      <c r="H92" s="0" t="str">
        <f aca="false">TEXT(A92,"mmm-yy")</f>
        <v>Feb-26</v>
      </c>
    </row>
    <row r="93" customFormat="false" ht="15" hidden="false" customHeight="false" outlineLevel="0" collapsed="false">
      <c r="A93" s="2" t="n">
        <v>46064</v>
      </c>
      <c r="B93" s="3" t="s">
        <v>26</v>
      </c>
      <c r="C93" s="3" t="s">
        <v>15</v>
      </c>
      <c r="D93" s="3" t="s">
        <v>23</v>
      </c>
      <c r="E93" s="0" t="n">
        <v>3</v>
      </c>
      <c r="F93" s="4" t="n">
        <v>332</v>
      </c>
      <c r="G93" s="4" t="n">
        <f aca="false">E93*F93</f>
        <v>996</v>
      </c>
      <c r="H93" s="0" t="str">
        <f aca="false">TEXT(A93,"mmm-yy")</f>
        <v>Feb-26</v>
      </c>
    </row>
    <row r="94" customFormat="false" ht="15" hidden="false" customHeight="false" outlineLevel="0" collapsed="false">
      <c r="A94" s="2" t="n">
        <v>46064</v>
      </c>
      <c r="B94" s="3" t="s">
        <v>22</v>
      </c>
      <c r="C94" s="3" t="s">
        <v>9</v>
      </c>
      <c r="D94" s="3" t="s">
        <v>23</v>
      </c>
      <c r="E94" s="0" t="n">
        <v>3</v>
      </c>
      <c r="F94" s="4" t="n">
        <v>3760</v>
      </c>
      <c r="G94" s="4" t="n">
        <f aca="false">E94*F94</f>
        <v>11280</v>
      </c>
      <c r="H94" s="0" t="str">
        <f aca="false">TEXT(A94,"mmm-yy")</f>
        <v>Feb-26</v>
      </c>
    </row>
    <row r="95" customFormat="false" ht="15" hidden="false" customHeight="false" outlineLevel="0" collapsed="false">
      <c r="A95" s="2" t="n">
        <v>46065</v>
      </c>
      <c r="B95" s="3" t="s">
        <v>26</v>
      </c>
      <c r="C95" s="3" t="s">
        <v>15</v>
      </c>
      <c r="D95" s="3" t="s">
        <v>23</v>
      </c>
      <c r="E95" s="0" t="n">
        <v>5</v>
      </c>
      <c r="F95" s="4" t="n">
        <v>376</v>
      </c>
      <c r="G95" s="4" t="n">
        <f aca="false">E95*F95</f>
        <v>1880</v>
      </c>
      <c r="H95" s="0" t="str">
        <f aca="false">TEXT(A95,"mmm-yy")</f>
        <v>Feb-26</v>
      </c>
    </row>
    <row r="96" customFormat="false" ht="15" hidden="false" customHeight="false" outlineLevel="0" collapsed="false">
      <c r="A96" s="2" t="n">
        <v>46065</v>
      </c>
      <c r="B96" s="3" t="s">
        <v>8</v>
      </c>
      <c r="C96" s="3" t="s">
        <v>9</v>
      </c>
      <c r="D96" s="3" t="s">
        <v>10</v>
      </c>
      <c r="E96" s="0" t="n">
        <v>3</v>
      </c>
      <c r="F96" s="4" t="n">
        <v>1782</v>
      </c>
      <c r="G96" s="4" t="n">
        <f aca="false">E96*F96</f>
        <v>5346</v>
      </c>
      <c r="H96" s="0" t="str">
        <f aca="false">TEXT(A96,"mmm-yy")</f>
        <v>Feb-26</v>
      </c>
    </row>
    <row r="97" customFormat="false" ht="15" hidden="false" customHeight="false" outlineLevel="0" collapsed="false">
      <c r="A97" s="2" t="n">
        <v>46065</v>
      </c>
      <c r="B97" s="3" t="s">
        <v>14</v>
      </c>
      <c r="C97" s="3" t="s">
        <v>15</v>
      </c>
      <c r="D97" s="3" t="s">
        <v>13</v>
      </c>
      <c r="E97" s="0" t="n">
        <v>3</v>
      </c>
      <c r="F97" s="4" t="n">
        <v>858</v>
      </c>
      <c r="G97" s="4" t="n">
        <f aca="false">E97*F97</f>
        <v>2574</v>
      </c>
      <c r="H97" s="0" t="str">
        <f aca="false">TEXT(A97,"mmm-yy")</f>
        <v>Feb-26</v>
      </c>
    </row>
    <row r="98" customFormat="false" ht="15" hidden="false" customHeight="false" outlineLevel="0" collapsed="false">
      <c r="A98" s="2" t="n">
        <v>46065</v>
      </c>
      <c r="B98" s="3" t="s">
        <v>22</v>
      </c>
      <c r="C98" s="3" t="s">
        <v>9</v>
      </c>
      <c r="D98" s="3" t="s">
        <v>23</v>
      </c>
      <c r="E98" s="0" t="n">
        <v>3</v>
      </c>
      <c r="F98" s="4" t="n">
        <v>3553</v>
      </c>
      <c r="G98" s="4" t="n">
        <f aca="false">E98*F98</f>
        <v>10659</v>
      </c>
      <c r="H98" s="0" t="str">
        <f aca="false">TEXT(A98,"mmm-yy")</f>
        <v>Feb-26</v>
      </c>
    </row>
    <row r="99" customFormat="false" ht="15" hidden="false" customHeight="false" outlineLevel="0" collapsed="false">
      <c r="A99" s="2" t="n">
        <v>46066</v>
      </c>
      <c r="B99" s="3" t="s">
        <v>14</v>
      </c>
      <c r="C99" s="3" t="s">
        <v>15</v>
      </c>
      <c r="D99" s="3" t="s">
        <v>18</v>
      </c>
      <c r="E99" s="0" t="n">
        <v>1</v>
      </c>
      <c r="F99" s="4" t="n">
        <v>861</v>
      </c>
      <c r="G99" s="4" t="n">
        <f aca="false">E99*F99</f>
        <v>861</v>
      </c>
      <c r="H99" s="0" t="str">
        <f aca="false">TEXT(A99,"mmm-yy")</f>
        <v>Feb-26</v>
      </c>
    </row>
    <row r="100" customFormat="false" ht="15" hidden="false" customHeight="false" outlineLevel="0" collapsed="false">
      <c r="A100" s="2" t="n">
        <v>46066</v>
      </c>
      <c r="B100" s="3" t="s">
        <v>14</v>
      </c>
      <c r="C100" s="3" t="s">
        <v>15</v>
      </c>
      <c r="D100" s="3" t="s">
        <v>18</v>
      </c>
      <c r="E100" s="0" t="n">
        <v>1</v>
      </c>
      <c r="F100" s="4" t="n">
        <v>759</v>
      </c>
      <c r="G100" s="4" t="n">
        <f aca="false">E100*F100</f>
        <v>759</v>
      </c>
      <c r="H100" s="0" t="str">
        <f aca="false">TEXT(A100,"mmm-yy")</f>
        <v>Feb-26</v>
      </c>
    </row>
    <row r="101" customFormat="false" ht="15" hidden="false" customHeight="false" outlineLevel="0" collapsed="false">
      <c r="A101" s="2" t="n">
        <v>46066</v>
      </c>
      <c r="B101" s="3" t="s">
        <v>8</v>
      </c>
      <c r="C101" s="3" t="s">
        <v>9</v>
      </c>
      <c r="D101" s="3" t="s">
        <v>10</v>
      </c>
      <c r="E101" s="0" t="n">
        <v>5</v>
      </c>
      <c r="F101" s="4" t="n">
        <v>1905</v>
      </c>
      <c r="G101" s="4" t="n">
        <f aca="false">E101*F101</f>
        <v>9525</v>
      </c>
      <c r="H101" s="0" t="str">
        <f aca="false">TEXT(A101,"mmm-yy")</f>
        <v>Feb-26</v>
      </c>
    </row>
    <row r="102" customFormat="false" ht="15" hidden="false" customHeight="false" outlineLevel="0" collapsed="false">
      <c r="A102" s="2" t="n">
        <v>46066</v>
      </c>
      <c r="B102" s="3" t="s">
        <v>25</v>
      </c>
      <c r="C102" s="3" t="s">
        <v>17</v>
      </c>
      <c r="D102" s="3" t="s">
        <v>23</v>
      </c>
      <c r="E102" s="0" t="n">
        <v>3</v>
      </c>
      <c r="F102" s="4" t="n">
        <v>2768</v>
      </c>
      <c r="G102" s="4" t="n">
        <f aca="false">E102*F102</f>
        <v>8304</v>
      </c>
      <c r="H102" s="0" t="str">
        <f aca="false">TEXT(A102,"mmm-yy")</f>
        <v>Feb-26</v>
      </c>
    </row>
    <row r="103" customFormat="false" ht="15" hidden="false" customHeight="false" outlineLevel="0" collapsed="false">
      <c r="A103" s="2" t="n">
        <v>46067</v>
      </c>
      <c r="B103" s="3" t="s">
        <v>11</v>
      </c>
      <c r="C103" s="3" t="s">
        <v>12</v>
      </c>
      <c r="D103" s="3" t="s">
        <v>23</v>
      </c>
      <c r="E103" s="0" t="n">
        <v>5</v>
      </c>
      <c r="F103" s="4" t="n">
        <v>691</v>
      </c>
      <c r="G103" s="4" t="n">
        <f aca="false">E103*F103</f>
        <v>3455</v>
      </c>
      <c r="H103" s="0" t="str">
        <f aca="false">TEXT(A103,"mmm-yy")</f>
        <v>Feb-26</v>
      </c>
    </row>
    <row r="104" customFormat="false" ht="15" hidden="false" customHeight="false" outlineLevel="0" collapsed="false">
      <c r="A104" s="2" t="n">
        <v>46068</v>
      </c>
      <c r="B104" s="3" t="s">
        <v>25</v>
      </c>
      <c r="C104" s="3" t="s">
        <v>17</v>
      </c>
      <c r="D104" s="3" t="s">
        <v>10</v>
      </c>
      <c r="E104" s="0" t="n">
        <v>3</v>
      </c>
      <c r="F104" s="4" t="n">
        <v>2755</v>
      </c>
      <c r="G104" s="4" t="n">
        <f aca="false">E104*F104</f>
        <v>8265</v>
      </c>
      <c r="H104" s="0" t="str">
        <f aca="false">TEXT(A104,"mmm-yy")</f>
        <v>Feb-26</v>
      </c>
    </row>
    <row r="105" customFormat="false" ht="15" hidden="false" customHeight="false" outlineLevel="0" collapsed="false">
      <c r="A105" s="2" t="n">
        <v>46068</v>
      </c>
      <c r="B105" s="3" t="s">
        <v>16</v>
      </c>
      <c r="C105" s="3" t="s">
        <v>17</v>
      </c>
      <c r="D105" s="3" t="s">
        <v>10</v>
      </c>
      <c r="E105" s="0" t="n">
        <v>4</v>
      </c>
      <c r="F105" s="4" t="n">
        <v>493</v>
      </c>
      <c r="G105" s="4" t="n">
        <f aca="false">E105*F105</f>
        <v>1972</v>
      </c>
      <c r="H105" s="0" t="str">
        <f aca="false">TEXT(A105,"mmm-yy")</f>
        <v>Feb-26</v>
      </c>
    </row>
    <row r="106" customFormat="false" ht="15" hidden="false" customHeight="false" outlineLevel="0" collapsed="false">
      <c r="A106" s="2" t="n">
        <v>46068</v>
      </c>
      <c r="B106" s="3" t="s">
        <v>14</v>
      </c>
      <c r="C106" s="3" t="s">
        <v>15</v>
      </c>
      <c r="D106" s="3" t="s">
        <v>13</v>
      </c>
      <c r="E106" s="0" t="n">
        <v>4</v>
      </c>
      <c r="F106" s="4" t="n">
        <v>808</v>
      </c>
      <c r="G106" s="4" t="n">
        <f aca="false">E106*F106</f>
        <v>3232</v>
      </c>
      <c r="H106" s="0" t="str">
        <f aca="false">TEXT(A106,"mmm-yy")</f>
        <v>Feb-26</v>
      </c>
    </row>
    <row r="107" customFormat="false" ht="15" hidden="false" customHeight="false" outlineLevel="0" collapsed="false">
      <c r="A107" s="2" t="n">
        <v>46068</v>
      </c>
      <c r="B107" s="3" t="s">
        <v>29</v>
      </c>
      <c r="C107" s="3" t="s">
        <v>17</v>
      </c>
      <c r="D107" s="3" t="s">
        <v>23</v>
      </c>
      <c r="E107" s="0" t="n">
        <v>4</v>
      </c>
      <c r="F107" s="4" t="n">
        <v>2221</v>
      </c>
      <c r="G107" s="4" t="n">
        <f aca="false">E107*F107</f>
        <v>8884</v>
      </c>
      <c r="H107" s="0" t="str">
        <f aca="false">TEXT(A107,"mmm-yy")</f>
        <v>Feb-26</v>
      </c>
    </row>
    <row r="108" customFormat="false" ht="15" hidden="false" customHeight="false" outlineLevel="0" collapsed="false">
      <c r="A108" s="2" t="n">
        <v>46069</v>
      </c>
      <c r="B108" s="3" t="s">
        <v>19</v>
      </c>
      <c r="C108" s="3" t="s">
        <v>20</v>
      </c>
      <c r="D108" s="3" t="s">
        <v>18</v>
      </c>
      <c r="E108" s="0" t="n">
        <v>2</v>
      </c>
      <c r="F108" s="4" t="n">
        <v>891</v>
      </c>
      <c r="G108" s="4" t="n">
        <f aca="false">E108*F108</f>
        <v>1782</v>
      </c>
      <c r="H108" s="0" t="str">
        <f aca="false">TEXT(A108,"mmm-yy")</f>
        <v>Feb-26</v>
      </c>
    </row>
    <row r="109" customFormat="false" ht="15" hidden="false" customHeight="false" outlineLevel="0" collapsed="false">
      <c r="A109" s="2" t="n">
        <v>46069</v>
      </c>
      <c r="B109" s="3" t="s">
        <v>21</v>
      </c>
      <c r="C109" s="3" t="s">
        <v>12</v>
      </c>
      <c r="D109" s="3" t="s">
        <v>13</v>
      </c>
      <c r="E109" s="0" t="n">
        <v>2</v>
      </c>
      <c r="F109" s="4" t="n">
        <v>425</v>
      </c>
      <c r="G109" s="4" t="n">
        <f aca="false">E109*F109</f>
        <v>850</v>
      </c>
      <c r="H109" s="0" t="str">
        <f aca="false">TEXT(A109,"mmm-yy")</f>
        <v>Feb-26</v>
      </c>
    </row>
    <row r="110" customFormat="false" ht="15" hidden="false" customHeight="false" outlineLevel="0" collapsed="false">
      <c r="A110" s="2" t="n">
        <v>46069</v>
      </c>
      <c r="B110" s="3" t="s">
        <v>29</v>
      </c>
      <c r="C110" s="3" t="s">
        <v>17</v>
      </c>
      <c r="D110" s="3" t="s">
        <v>23</v>
      </c>
      <c r="E110" s="0" t="n">
        <v>5</v>
      </c>
      <c r="F110" s="4" t="n">
        <v>2305</v>
      </c>
      <c r="G110" s="4" t="n">
        <f aca="false">E110*F110</f>
        <v>11525</v>
      </c>
      <c r="H110" s="0" t="str">
        <f aca="false">TEXT(A110,"mmm-yy")</f>
        <v>Feb-26</v>
      </c>
    </row>
    <row r="111" customFormat="false" ht="15" hidden="false" customHeight="false" outlineLevel="0" collapsed="false">
      <c r="A111" s="2" t="n">
        <v>46069</v>
      </c>
      <c r="B111" s="3" t="s">
        <v>22</v>
      </c>
      <c r="C111" s="3" t="s">
        <v>9</v>
      </c>
      <c r="D111" s="3" t="s">
        <v>23</v>
      </c>
      <c r="E111" s="0" t="n">
        <v>2</v>
      </c>
      <c r="F111" s="4" t="n">
        <v>3677</v>
      </c>
      <c r="G111" s="4" t="n">
        <f aca="false">E111*F111</f>
        <v>7354</v>
      </c>
      <c r="H111" s="0" t="str">
        <f aca="false">TEXT(A111,"mmm-yy")</f>
        <v>Feb-26</v>
      </c>
    </row>
    <row r="112" customFormat="false" ht="15" hidden="false" customHeight="false" outlineLevel="0" collapsed="false">
      <c r="A112" s="2" t="n">
        <v>46070</v>
      </c>
      <c r="B112" s="3" t="s">
        <v>21</v>
      </c>
      <c r="C112" s="3" t="s">
        <v>12</v>
      </c>
      <c r="D112" s="3" t="s">
        <v>13</v>
      </c>
      <c r="E112" s="0" t="n">
        <v>1</v>
      </c>
      <c r="F112" s="4" t="n">
        <v>380</v>
      </c>
      <c r="G112" s="4" t="n">
        <f aca="false">E112*F112</f>
        <v>380</v>
      </c>
      <c r="H112" s="0" t="str">
        <f aca="false">TEXT(A112,"mmm-yy")</f>
        <v>Feb-26</v>
      </c>
    </row>
    <row r="113" customFormat="false" ht="15" hidden="false" customHeight="false" outlineLevel="0" collapsed="false">
      <c r="A113" s="2" t="n">
        <v>46070</v>
      </c>
      <c r="B113" s="3" t="s">
        <v>16</v>
      </c>
      <c r="C113" s="3" t="s">
        <v>17</v>
      </c>
      <c r="D113" s="3" t="s">
        <v>13</v>
      </c>
      <c r="E113" s="0" t="n">
        <v>5</v>
      </c>
      <c r="F113" s="4" t="n">
        <v>538</v>
      </c>
      <c r="G113" s="4" t="n">
        <f aca="false">E113*F113</f>
        <v>2690</v>
      </c>
      <c r="H113" s="0" t="str">
        <f aca="false">TEXT(A113,"mmm-yy")</f>
        <v>Feb-26</v>
      </c>
    </row>
    <row r="114" customFormat="false" ht="15" hidden="false" customHeight="false" outlineLevel="0" collapsed="false">
      <c r="A114" s="2" t="n">
        <v>46071</v>
      </c>
      <c r="B114" s="3" t="s">
        <v>28</v>
      </c>
      <c r="C114" s="3" t="s">
        <v>20</v>
      </c>
      <c r="D114" s="3" t="s">
        <v>10</v>
      </c>
      <c r="E114" s="0" t="n">
        <v>5</v>
      </c>
      <c r="F114" s="4" t="n">
        <v>1804</v>
      </c>
      <c r="G114" s="4" t="n">
        <f aca="false">E114*F114</f>
        <v>9020</v>
      </c>
      <c r="H114" s="0" t="str">
        <f aca="false">TEXT(A114,"mmm-yy")</f>
        <v>Feb-26</v>
      </c>
    </row>
    <row r="115" customFormat="false" ht="15" hidden="false" customHeight="false" outlineLevel="0" collapsed="false">
      <c r="A115" s="2" t="n">
        <v>46071</v>
      </c>
      <c r="B115" s="3" t="s">
        <v>11</v>
      </c>
      <c r="C115" s="3" t="s">
        <v>12</v>
      </c>
      <c r="D115" s="3" t="s">
        <v>18</v>
      </c>
      <c r="E115" s="0" t="n">
        <v>4</v>
      </c>
      <c r="F115" s="4" t="n">
        <v>669</v>
      </c>
      <c r="G115" s="4" t="n">
        <f aca="false">E115*F115</f>
        <v>2676</v>
      </c>
      <c r="H115" s="0" t="str">
        <f aca="false">TEXT(A115,"mmm-yy")</f>
        <v>Feb-26</v>
      </c>
    </row>
    <row r="116" customFormat="false" ht="15" hidden="false" customHeight="false" outlineLevel="0" collapsed="false">
      <c r="A116" s="2" t="n">
        <v>46071</v>
      </c>
      <c r="B116" s="3" t="s">
        <v>16</v>
      </c>
      <c r="C116" s="3" t="s">
        <v>17</v>
      </c>
      <c r="D116" s="3" t="s">
        <v>13</v>
      </c>
      <c r="E116" s="0" t="n">
        <v>1</v>
      </c>
      <c r="F116" s="4" t="n">
        <v>471</v>
      </c>
      <c r="G116" s="4" t="n">
        <f aca="false">E116*F116</f>
        <v>471</v>
      </c>
      <c r="H116" s="0" t="str">
        <f aca="false">TEXT(A116,"mmm-yy")</f>
        <v>Feb-26</v>
      </c>
    </row>
    <row r="117" customFormat="false" ht="15" hidden="false" customHeight="false" outlineLevel="0" collapsed="false">
      <c r="A117" s="2" t="n">
        <v>46071</v>
      </c>
      <c r="B117" s="3" t="s">
        <v>21</v>
      </c>
      <c r="C117" s="3" t="s">
        <v>12</v>
      </c>
      <c r="D117" s="3" t="s">
        <v>18</v>
      </c>
      <c r="E117" s="0" t="n">
        <v>2</v>
      </c>
      <c r="F117" s="4" t="n">
        <v>394</v>
      </c>
      <c r="G117" s="4" t="n">
        <f aca="false">E117*F117</f>
        <v>788</v>
      </c>
      <c r="H117" s="0" t="str">
        <f aca="false">TEXT(A117,"mmm-yy")</f>
        <v>Feb-26</v>
      </c>
    </row>
    <row r="118" customFormat="false" ht="15" hidden="false" customHeight="false" outlineLevel="0" collapsed="false">
      <c r="A118" s="2" t="n">
        <v>46072</v>
      </c>
      <c r="B118" s="3" t="s">
        <v>24</v>
      </c>
      <c r="C118" s="3" t="s">
        <v>20</v>
      </c>
      <c r="D118" s="3" t="s">
        <v>18</v>
      </c>
      <c r="E118" s="0" t="n">
        <v>1</v>
      </c>
      <c r="F118" s="4" t="n">
        <v>575</v>
      </c>
      <c r="G118" s="4" t="n">
        <f aca="false">E118*F118</f>
        <v>575</v>
      </c>
      <c r="H118" s="0" t="str">
        <f aca="false">TEXT(A118,"mmm-yy")</f>
        <v>Feb-26</v>
      </c>
    </row>
    <row r="119" customFormat="false" ht="15" hidden="false" customHeight="false" outlineLevel="0" collapsed="false">
      <c r="A119" s="2" t="n">
        <v>46073</v>
      </c>
      <c r="B119" s="3" t="s">
        <v>21</v>
      </c>
      <c r="C119" s="3" t="s">
        <v>12</v>
      </c>
      <c r="D119" s="3" t="s">
        <v>23</v>
      </c>
      <c r="E119" s="0" t="n">
        <v>5</v>
      </c>
      <c r="F119" s="4" t="n">
        <v>397</v>
      </c>
      <c r="G119" s="4" t="n">
        <f aca="false">E119*F119</f>
        <v>1985</v>
      </c>
      <c r="H119" s="0" t="str">
        <f aca="false">TEXT(A119,"mmm-yy")</f>
        <v>Feb-26</v>
      </c>
    </row>
    <row r="120" customFormat="false" ht="15" hidden="false" customHeight="false" outlineLevel="0" collapsed="false">
      <c r="A120" s="2" t="n">
        <v>46073</v>
      </c>
      <c r="B120" s="3" t="s">
        <v>21</v>
      </c>
      <c r="C120" s="3" t="s">
        <v>12</v>
      </c>
      <c r="D120" s="3" t="s">
        <v>18</v>
      </c>
      <c r="E120" s="0" t="n">
        <v>5</v>
      </c>
      <c r="F120" s="4" t="n">
        <v>424</v>
      </c>
      <c r="G120" s="4" t="n">
        <f aca="false">E120*F120</f>
        <v>2120</v>
      </c>
      <c r="H120" s="0" t="str">
        <f aca="false">TEXT(A120,"mmm-yy")</f>
        <v>Feb-26</v>
      </c>
    </row>
    <row r="121" customFormat="false" ht="15" hidden="false" customHeight="false" outlineLevel="0" collapsed="false">
      <c r="A121" s="2" t="n">
        <v>46074</v>
      </c>
      <c r="B121" s="3" t="s">
        <v>27</v>
      </c>
      <c r="C121" s="3" t="s">
        <v>9</v>
      </c>
      <c r="D121" s="3" t="s">
        <v>18</v>
      </c>
      <c r="E121" s="0" t="n">
        <v>4</v>
      </c>
      <c r="F121" s="4" t="n">
        <v>1557</v>
      </c>
      <c r="G121" s="4" t="n">
        <f aca="false">E121*F121</f>
        <v>6228</v>
      </c>
      <c r="H121" s="0" t="str">
        <f aca="false">TEXT(A121,"mmm-yy")</f>
        <v>Feb-26</v>
      </c>
    </row>
    <row r="122" customFormat="false" ht="15" hidden="false" customHeight="false" outlineLevel="0" collapsed="false">
      <c r="A122" s="2" t="n">
        <v>46074</v>
      </c>
      <c r="B122" s="3" t="s">
        <v>29</v>
      </c>
      <c r="C122" s="3" t="s">
        <v>17</v>
      </c>
      <c r="D122" s="3" t="s">
        <v>18</v>
      </c>
      <c r="E122" s="0" t="n">
        <v>3</v>
      </c>
      <c r="F122" s="4" t="n">
        <v>2392</v>
      </c>
      <c r="G122" s="4" t="n">
        <f aca="false">E122*F122</f>
        <v>7176</v>
      </c>
      <c r="H122" s="0" t="str">
        <f aca="false">TEXT(A122,"mmm-yy")</f>
        <v>Feb-26</v>
      </c>
    </row>
    <row r="123" customFormat="false" ht="15" hidden="false" customHeight="false" outlineLevel="0" collapsed="false">
      <c r="A123" s="2" t="n">
        <v>46074</v>
      </c>
      <c r="B123" s="3" t="s">
        <v>26</v>
      </c>
      <c r="C123" s="3" t="s">
        <v>15</v>
      </c>
      <c r="D123" s="3" t="s">
        <v>13</v>
      </c>
      <c r="E123" s="0" t="n">
        <v>4</v>
      </c>
      <c r="F123" s="4" t="n">
        <v>334</v>
      </c>
      <c r="G123" s="4" t="n">
        <f aca="false">E123*F123</f>
        <v>1336</v>
      </c>
      <c r="H123" s="0" t="str">
        <f aca="false">TEXT(A123,"mmm-yy")</f>
        <v>Feb-26</v>
      </c>
    </row>
    <row r="124" customFormat="false" ht="15" hidden="false" customHeight="false" outlineLevel="0" collapsed="false">
      <c r="A124" s="2" t="n">
        <v>46074</v>
      </c>
      <c r="B124" s="3" t="s">
        <v>11</v>
      </c>
      <c r="C124" s="3" t="s">
        <v>12</v>
      </c>
      <c r="D124" s="3" t="s">
        <v>23</v>
      </c>
      <c r="E124" s="0" t="n">
        <v>3</v>
      </c>
      <c r="F124" s="4" t="n">
        <v>627</v>
      </c>
      <c r="G124" s="4" t="n">
        <f aca="false">E124*F124</f>
        <v>1881</v>
      </c>
      <c r="H124" s="0" t="str">
        <f aca="false">TEXT(A124,"mmm-yy")</f>
        <v>Feb-26</v>
      </c>
    </row>
    <row r="125" customFormat="false" ht="15" hidden="false" customHeight="false" outlineLevel="0" collapsed="false">
      <c r="A125" s="2" t="n">
        <v>46075</v>
      </c>
      <c r="B125" s="3" t="s">
        <v>24</v>
      </c>
      <c r="C125" s="3" t="s">
        <v>20</v>
      </c>
      <c r="D125" s="3" t="s">
        <v>10</v>
      </c>
      <c r="E125" s="0" t="n">
        <v>2</v>
      </c>
      <c r="F125" s="4" t="n">
        <v>559</v>
      </c>
      <c r="G125" s="4" t="n">
        <f aca="false">E125*F125</f>
        <v>1118</v>
      </c>
      <c r="H125" s="0" t="str">
        <f aca="false">TEXT(A125,"mmm-yy")</f>
        <v>Feb-26</v>
      </c>
    </row>
    <row r="126" customFormat="false" ht="15" hidden="false" customHeight="false" outlineLevel="0" collapsed="false">
      <c r="A126" s="2" t="n">
        <v>46075</v>
      </c>
      <c r="B126" s="3" t="s">
        <v>28</v>
      </c>
      <c r="C126" s="3" t="s">
        <v>20</v>
      </c>
      <c r="D126" s="3" t="s">
        <v>13</v>
      </c>
      <c r="E126" s="0" t="n">
        <v>2</v>
      </c>
      <c r="F126" s="4" t="n">
        <v>1752</v>
      </c>
      <c r="G126" s="4" t="n">
        <f aca="false">E126*F126</f>
        <v>3504</v>
      </c>
      <c r="H126" s="0" t="str">
        <f aca="false">TEXT(A126,"mmm-yy")</f>
        <v>Feb-26</v>
      </c>
    </row>
    <row r="127" customFormat="false" ht="15" hidden="false" customHeight="false" outlineLevel="0" collapsed="false">
      <c r="A127" s="2" t="n">
        <v>46075</v>
      </c>
      <c r="B127" s="3" t="s">
        <v>28</v>
      </c>
      <c r="C127" s="3" t="s">
        <v>20</v>
      </c>
      <c r="D127" s="3" t="s">
        <v>18</v>
      </c>
      <c r="E127" s="0" t="n">
        <v>5</v>
      </c>
      <c r="F127" s="4" t="n">
        <v>1674</v>
      </c>
      <c r="G127" s="4" t="n">
        <f aca="false">E127*F127</f>
        <v>8370</v>
      </c>
      <c r="H127" s="0" t="str">
        <f aca="false">TEXT(A127,"mmm-yy")</f>
        <v>Feb-26</v>
      </c>
    </row>
    <row r="128" customFormat="false" ht="15" hidden="false" customHeight="false" outlineLevel="0" collapsed="false">
      <c r="A128" s="2" t="n">
        <v>46076</v>
      </c>
      <c r="B128" s="3" t="s">
        <v>8</v>
      </c>
      <c r="C128" s="3" t="s">
        <v>9</v>
      </c>
      <c r="D128" s="3" t="s">
        <v>18</v>
      </c>
      <c r="E128" s="0" t="n">
        <v>4</v>
      </c>
      <c r="F128" s="4" t="n">
        <v>1810</v>
      </c>
      <c r="G128" s="4" t="n">
        <f aca="false">E128*F128</f>
        <v>7240</v>
      </c>
      <c r="H128" s="0" t="str">
        <f aca="false">TEXT(A128,"mmm-yy")</f>
        <v>Feb-26</v>
      </c>
    </row>
    <row r="129" customFormat="false" ht="15" hidden="false" customHeight="false" outlineLevel="0" collapsed="false">
      <c r="A129" s="2" t="n">
        <v>46076</v>
      </c>
      <c r="B129" s="3" t="s">
        <v>21</v>
      </c>
      <c r="C129" s="3" t="s">
        <v>12</v>
      </c>
      <c r="D129" s="3" t="s">
        <v>18</v>
      </c>
      <c r="E129" s="0" t="n">
        <v>1</v>
      </c>
      <c r="F129" s="4" t="n">
        <v>404</v>
      </c>
      <c r="G129" s="4" t="n">
        <f aca="false">E129*F129</f>
        <v>404</v>
      </c>
      <c r="H129" s="0" t="str">
        <f aca="false">TEXT(A129,"mmm-yy")</f>
        <v>Feb-26</v>
      </c>
    </row>
    <row r="130" customFormat="false" ht="15" hidden="false" customHeight="false" outlineLevel="0" collapsed="false">
      <c r="A130" s="2" t="n">
        <v>46076</v>
      </c>
      <c r="B130" s="3" t="s">
        <v>19</v>
      </c>
      <c r="C130" s="3" t="s">
        <v>20</v>
      </c>
      <c r="D130" s="3" t="s">
        <v>23</v>
      </c>
      <c r="E130" s="0" t="n">
        <v>3</v>
      </c>
      <c r="F130" s="4" t="n">
        <v>828</v>
      </c>
      <c r="G130" s="4" t="n">
        <f aca="false">E130*F130</f>
        <v>2484</v>
      </c>
      <c r="H130" s="0" t="str">
        <f aca="false">TEXT(A130,"mmm-yy")</f>
        <v>Feb-26</v>
      </c>
    </row>
    <row r="131" customFormat="false" ht="15" hidden="false" customHeight="false" outlineLevel="0" collapsed="false">
      <c r="A131" s="2" t="n">
        <v>46076</v>
      </c>
      <c r="B131" s="3" t="s">
        <v>21</v>
      </c>
      <c r="C131" s="3" t="s">
        <v>12</v>
      </c>
      <c r="D131" s="3" t="s">
        <v>10</v>
      </c>
      <c r="E131" s="0" t="n">
        <v>4</v>
      </c>
      <c r="F131" s="4" t="n">
        <v>392</v>
      </c>
      <c r="G131" s="4" t="n">
        <f aca="false">E131*F131</f>
        <v>1568</v>
      </c>
      <c r="H131" s="0" t="str">
        <f aca="false">TEXT(A131,"mmm-yy")</f>
        <v>Feb-26</v>
      </c>
    </row>
    <row r="132" customFormat="false" ht="15" hidden="false" customHeight="false" outlineLevel="0" collapsed="false">
      <c r="A132" s="2" t="n">
        <v>46077</v>
      </c>
      <c r="B132" s="3" t="s">
        <v>16</v>
      </c>
      <c r="C132" s="3" t="s">
        <v>17</v>
      </c>
      <c r="D132" s="3" t="s">
        <v>13</v>
      </c>
      <c r="E132" s="0" t="n">
        <v>4</v>
      </c>
      <c r="F132" s="4" t="n">
        <v>481</v>
      </c>
      <c r="G132" s="4" t="n">
        <f aca="false">E132*F132</f>
        <v>1924</v>
      </c>
      <c r="H132" s="0" t="str">
        <f aca="false">TEXT(A132,"mmm-yy")</f>
        <v>Feb-26</v>
      </c>
    </row>
    <row r="133" customFormat="false" ht="15" hidden="false" customHeight="false" outlineLevel="0" collapsed="false">
      <c r="A133" s="2" t="n">
        <v>46077</v>
      </c>
      <c r="B133" s="3" t="s">
        <v>28</v>
      </c>
      <c r="C133" s="3" t="s">
        <v>20</v>
      </c>
      <c r="D133" s="3" t="s">
        <v>10</v>
      </c>
      <c r="E133" s="0" t="n">
        <v>4</v>
      </c>
      <c r="F133" s="4" t="n">
        <v>1654</v>
      </c>
      <c r="G133" s="4" t="n">
        <f aca="false">E133*F133</f>
        <v>6616</v>
      </c>
      <c r="H133" s="0" t="str">
        <f aca="false">TEXT(A133,"mmm-yy")</f>
        <v>Feb-26</v>
      </c>
    </row>
    <row r="134" customFormat="false" ht="15" hidden="false" customHeight="false" outlineLevel="0" collapsed="false">
      <c r="A134" s="2" t="n">
        <v>46077</v>
      </c>
      <c r="B134" s="3" t="s">
        <v>19</v>
      </c>
      <c r="C134" s="3" t="s">
        <v>20</v>
      </c>
      <c r="D134" s="3" t="s">
        <v>13</v>
      </c>
      <c r="E134" s="0" t="n">
        <v>5</v>
      </c>
      <c r="F134" s="4" t="n">
        <v>959</v>
      </c>
      <c r="G134" s="4" t="n">
        <f aca="false">E134*F134</f>
        <v>4795</v>
      </c>
      <c r="H134" s="0" t="str">
        <f aca="false">TEXT(A134,"mmm-yy")</f>
        <v>Feb-26</v>
      </c>
    </row>
    <row r="135" customFormat="false" ht="15" hidden="false" customHeight="false" outlineLevel="0" collapsed="false">
      <c r="A135" s="2" t="n">
        <v>46077</v>
      </c>
      <c r="B135" s="3" t="s">
        <v>28</v>
      </c>
      <c r="C135" s="3" t="s">
        <v>20</v>
      </c>
      <c r="D135" s="3" t="s">
        <v>13</v>
      </c>
      <c r="E135" s="0" t="n">
        <v>1</v>
      </c>
      <c r="F135" s="4" t="n">
        <v>1724</v>
      </c>
      <c r="G135" s="4" t="n">
        <f aca="false">E135*F135</f>
        <v>1724</v>
      </c>
      <c r="H135" s="0" t="str">
        <f aca="false">TEXT(A135,"mmm-yy")</f>
        <v>Feb-26</v>
      </c>
    </row>
    <row r="136" customFormat="false" ht="15" hidden="false" customHeight="false" outlineLevel="0" collapsed="false">
      <c r="A136" s="2" t="n">
        <v>46078</v>
      </c>
      <c r="B136" s="3" t="s">
        <v>27</v>
      </c>
      <c r="C136" s="3" t="s">
        <v>9</v>
      </c>
      <c r="D136" s="3" t="s">
        <v>13</v>
      </c>
      <c r="E136" s="0" t="n">
        <v>2</v>
      </c>
      <c r="F136" s="4" t="n">
        <v>1587</v>
      </c>
      <c r="G136" s="4" t="n">
        <f aca="false">E136*F136</f>
        <v>3174</v>
      </c>
      <c r="H136" s="0" t="str">
        <f aca="false">TEXT(A136,"mmm-yy")</f>
        <v>Feb-26</v>
      </c>
    </row>
    <row r="137" customFormat="false" ht="15" hidden="false" customHeight="false" outlineLevel="0" collapsed="false">
      <c r="A137" s="2" t="n">
        <v>46078</v>
      </c>
      <c r="B137" s="3" t="s">
        <v>29</v>
      </c>
      <c r="C137" s="3" t="s">
        <v>17</v>
      </c>
      <c r="D137" s="3" t="s">
        <v>18</v>
      </c>
      <c r="E137" s="0" t="n">
        <v>2</v>
      </c>
      <c r="F137" s="4" t="n">
        <v>2255</v>
      </c>
      <c r="G137" s="4" t="n">
        <f aca="false">E137*F137</f>
        <v>4510</v>
      </c>
      <c r="H137" s="0" t="str">
        <f aca="false">TEXT(A137,"mmm-yy")</f>
        <v>Feb-26</v>
      </c>
    </row>
    <row r="138" customFormat="false" ht="15" hidden="false" customHeight="false" outlineLevel="0" collapsed="false">
      <c r="A138" s="2" t="n">
        <v>46078</v>
      </c>
      <c r="B138" s="3" t="s">
        <v>25</v>
      </c>
      <c r="C138" s="3" t="s">
        <v>17</v>
      </c>
      <c r="D138" s="3" t="s">
        <v>23</v>
      </c>
      <c r="E138" s="0" t="n">
        <v>4</v>
      </c>
      <c r="F138" s="4" t="n">
        <v>2726</v>
      </c>
      <c r="G138" s="4" t="n">
        <f aca="false">E138*F138</f>
        <v>10904</v>
      </c>
      <c r="H138" s="0" t="str">
        <f aca="false">TEXT(A138,"mmm-yy")</f>
        <v>Feb-26</v>
      </c>
    </row>
    <row r="139" customFormat="false" ht="15" hidden="false" customHeight="false" outlineLevel="0" collapsed="false">
      <c r="A139" s="2" t="n">
        <v>46078</v>
      </c>
      <c r="B139" s="3" t="s">
        <v>21</v>
      </c>
      <c r="C139" s="3" t="s">
        <v>12</v>
      </c>
      <c r="D139" s="3" t="s">
        <v>23</v>
      </c>
      <c r="E139" s="0" t="n">
        <v>4</v>
      </c>
      <c r="F139" s="4" t="n">
        <v>428</v>
      </c>
      <c r="G139" s="4" t="n">
        <f aca="false">E139*F139</f>
        <v>1712</v>
      </c>
      <c r="H139" s="0" t="str">
        <f aca="false">TEXT(A139,"mmm-yy")</f>
        <v>Feb-26</v>
      </c>
    </row>
    <row r="140" customFormat="false" ht="15" hidden="false" customHeight="false" outlineLevel="0" collapsed="false">
      <c r="A140" s="2" t="n">
        <v>46079</v>
      </c>
      <c r="B140" s="3" t="s">
        <v>19</v>
      </c>
      <c r="C140" s="3" t="s">
        <v>20</v>
      </c>
      <c r="D140" s="3" t="s">
        <v>13</v>
      </c>
      <c r="E140" s="0" t="n">
        <v>5</v>
      </c>
      <c r="F140" s="4" t="n">
        <v>830</v>
      </c>
      <c r="G140" s="4" t="n">
        <f aca="false">E140*F140</f>
        <v>4150</v>
      </c>
      <c r="H140" s="0" t="str">
        <f aca="false">TEXT(A140,"mmm-yy")</f>
        <v>Feb-26</v>
      </c>
    </row>
    <row r="141" customFormat="false" ht="15" hidden="false" customHeight="false" outlineLevel="0" collapsed="false">
      <c r="A141" s="2" t="n">
        <v>46080</v>
      </c>
      <c r="B141" s="3" t="s">
        <v>16</v>
      </c>
      <c r="C141" s="3" t="s">
        <v>17</v>
      </c>
      <c r="D141" s="3" t="s">
        <v>13</v>
      </c>
      <c r="E141" s="0" t="n">
        <v>1</v>
      </c>
      <c r="F141" s="4" t="n">
        <v>511</v>
      </c>
      <c r="G141" s="4" t="n">
        <f aca="false">E141*F141</f>
        <v>511</v>
      </c>
      <c r="H141" s="0" t="str">
        <f aca="false">TEXT(A141,"mmm-yy")</f>
        <v>Feb-26</v>
      </c>
    </row>
    <row r="142" customFormat="false" ht="15" hidden="false" customHeight="false" outlineLevel="0" collapsed="false">
      <c r="A142" s="2" t="n">
        <v>46080</v>
      </c>
      <c r="B142" s="3" t="s">
        <v>16</v>
      </c>
      <c r="C142" s="3" t="s">
        <v>17</v>
      </c>
      <c r="D142" s="3" t="s">
        <v>10</v>
      </c>
      <c r="E142" s="0" t="n">
        <v>1</v>
      </c>
      <c r="F142" s="4" t="n">
        <v>475</v>
      </c>
      <c r="G142" s="4" t="n">
        <f aca="false">E142*F142</f>
        <v>475</v>
      </c>
      <c r="H142" s="0" t="str">
        <f aca="false">TEXT(A142,"mmm-yy")</f>
        <v>Feb-26</v>
      </c>
    </row>
    <row r="143" customFormat="false" ht="15" hidden="false" customHeight="false" outlineLevel="0" collapsed="false">
      <c r="A143" s="2" t="n">
        <v>46080</v>
      </c>
      <c r="B143" s="3" t="s">
        <v>16</v>
      </c>
      <c r="C143" s="3" t="s">
        <v>17</v>
      </c>
      <c r="D143" s="3" t="s">
        <v>10</v>
      </c>
      <c r="E143" s="0" t="n">
        <v>1</v>
      </c>
      <c r="F143" s="4" t="n">
        <v>469</v>
      </c>
      <c r="G143" s="4" t="n">
        <f aca="false">E143*F143</f>
        <v>469</v>
      </c>
      <c r="H143" s="0" t="str">
        <f aca="false">TEXT(A143,"mmm-yy")</f>
        <v>Feb-26</v>
      </c>
    </row>
    <row r="144" customFormat="false" ht="15" hidden="false" customHeight="false" outlineLevel="0" collapsed="false">
      <c r="A144" s="2" t="n">
        <v>46081</v>
      </c>
      <c r="B144" s="3" t="s">
        <v>11</v>
      </c>
      <c r="C144" s="3" t="s">
        <v>12</v>
      </c>
      <c r="D144" s="3" t="s">
        <v>10</v>
      </c>
      <c r="E144" s="0" t="n">
        <v>3</v>
      </c>
      <c r="F144" s="4" t="n">
        <v>624</v>
      </c>
      <c r="G144" s="4" t="n">
        <f aca="false">E144*F144</f>
        <v>1872</v>
      </c>
      <c r="H144" s="0" t="str">
        <f aca="false">TEXT(A144,"mmm-yy")</f>
        <v>Feb-26</v>
      </c>
    </row>
    <row r="145" customFormat="false" ht="15" hidden="false" customHeight="false" outlineLevel="0" collapsed="false">
      <c r="A145" s="2" t="n">
        <v>46081</v>
      </c>
      <c r="B145" s="3" t="s">
        <v>14</v>
      </c>
      <c r="C145" s="3" t="s">
        <v>15</v>
      </c>
      <c r="D145" s="3" t="s">
        <v>10</v>
      </c>
      <c r="E145" s="0" t="n">
        <v>1</v>
      </c>
      <c r="F145" s="4" t="n">
        <v>813</v>
      </c>
      <c r="G145" s="4" t="n">
        <f aca="false">E145*F145</f>
        <v>813</v>
      </c>
      <c r="H145" s="0" t="str">
        <f aca="false">TEXT(A145,"mmm-yy")</f>
        <v>Feb-26</v>
      </c>
    </row>
    <row r="146" customFormat="false" ht="15" hidden="false" customHeight="false" outlineLevel="0" collapsed="false">
      <c r="A146" s="2" t="n">
        <v>46081</v>
      </c>
      <c r="B146" s="3" t="s">
        <v>29</v>
      </c>
      <c r="C146" s="3" t="s">
        <v>17</v>
      </c>
      <c r="D146" s="3" t="s">
        <v>23</v>
      </c>
      <c r="E146" s="0" t="n">
        <v>1</v>
      </c>
      <c r="F146" s="4" t="n">
        <v>2155</v>
      </c>
      <c r="G146" s="4" t="n">
        <f aca="false">E146*F146</f>
        <v>2155</v>
      </c>
      <c r="H146" s="0" t="str">
        <f aca="false">TEXT(A146,"mmm-yy")</f>
        <v>Feb-26</v>
      </c>
    </row>
    <row r="147" customFormat="false" ht="15" hidden="false" customHeight="false" outlineLevel="0" collapsed="false">
      <c r="A147" s="2" t="n">
        <v>46081</v>
      </c>
      <c r="B147" s="3" t="s">
        <v>14</v>
      </c>
      <c r="C147" s="3" t="s">
        <v>15</v>
      </c>
      <c r="D147" s="3" t="s">
        <v>18</v>
      </c>
      <c r="E147" s="0" t="n">
        <v>4</v>
      </c>
      <c r="F147" s="4" t="n">
        <v>822</v>
      </c>
      <c r="G147" s="4" t="n">
        <f aca="false">E147*F147</f>
        <v>3288</v>
      </c>
      <c r="H147" s="0" t="str">
        <f aca="false">TEXT(A147,"mmm-yy")</f>
        <v>Feb-26</v>
      </c>
    </row>
    <row r="148" customFormat="false" ht="15" hidden="false" customHeight="false" outlineLevel="0" collapsed="false">
      <c r="A148" s="2" t="n">
        <v>46082</v>
      </c>
      <c r="B148" s="3" t="s">
        <v>22</v>
      </c>
      <c r="C148" s="3" t="s">
        <v>9</v>
      </c>
      <c r="D148" s="3" t="s">
        <v>13</v>
      </c>
      <c r="E148" s="0" t="n">
        <v>2</v>
      </c>
      <c r="F148" s="4" t="n">
        <v>3551</v>
      </c>
      <c r="G148" s="4" t="n">
        <f aca="false">E148*F148</f>
        <v>7102</v>
      </c>
      <c r="H148" s="0" t="str">
        <f aca="false">TEXT(A148,"mmm-yy")</f>
        <v>Mar-26</v>
      </c>
    </row>
    <row r="149" customFormat="false" ht="15" hidden="false" customHeight="false" outlineLevel="0" collapsed="false">
      <c r="A149" s="2" t="n">
        <v>46082</v>
      </c>
      <c r="B149" s="3" t="s">
        <v>11</v>
      </c>
      <c r="C149" s="3" t="s">
        <v>12</v>
      </c>
      <c r="D149" s="3" t="s">
        <v>13</v>
      </c>
      <c r="E149" s="0" t="n">
        <v>5</v>
      </c>
      <c r="F149" s="4" t="n">
        <v>677</v>
      </c>
      <c r="G149" s="4" t="n">
        <f aca="false">E149*F149</f>
        <v>3385</v>
      </c>
      <c r="H149" s="0" t="str">
        <f aca="false">TEXT(A149,"mmm-yy")</f>
        <v>Mar-26</v>
      </c>
    </row>
    <row r="150" customFormat="false" ht="15" hidden="false" customHeight="false" outlineLevel="0" collapsed="false">
      <c r="A150" s="2" t="n">
        <v>46083</v>
      </c>
      <c r="B150" s="3" t="s">
        <v>25</v>
      </c>
      <c r="C150" s="3" t="s">
        <v>17</v>
      </c>
      <c r="D150" s="3" t="s">
        <v>13</v>
      </c>
      <c r="E150" s="0" t="n">
        <v>3</v>
      </c>
      <c r="F150" s="4" t="n">
        <v>2814</v>
      </c>
      <c r="G150" s="4" t="n">
        <f aca="false">E150*F150</f>
        <v>8442</v>
      </c>
      <c r="H150" s="0" t="str">
        <f aca="false">TEXT(A150,"mmm-yy")</f>
        <v>Mar-26</v>
      </c>
    </row>
    <row r="151" customFormat="false" ht="15" hidden="false" customHeight="false" outlineLevel="0" collapsed="false">
      <c r="A151" s="2" t="n">
        <v>46084</v>
      </c>
      <c r="B151" s="3" t="s">
        <v>8</v>
      </c>
      <c r="C151" s="3" t="s">
        <v>9</v>
      </c>
      <c r="D151" s="3" t="s">
        <v>13</v>
      </c>
      <c r="E151" s="0" t="n">
        <v>4</v>
      </c>
      <c r="F151" s="4" t="n">
        <v>2005</v>
      </c>
      <c r="G151" s="4" t="n">
        <f aca="false">E151*F151</f>
        <v>8020</v>
      </c>
      <c r="H151" s="0" t="str">
        <f aca="false">TEXT(A151,"mmm-yy")</f>
        <v>Mar-26</v>
      </c>
    </row>
    <row r="152" customFormat="false" ht="15" hidden="false" customHeight="false" outlineLevel="0" collapsed="false">
      <c r="A152" s="2" t="n">
        <v>46084</v>
      </c>
      <c r="B152" s="3" t="s">
        <v>28</v>
      </c>
      <c r="C152" s="3" t="s">
        <v>20</v>
      </c>
      <c r="D152" s="3" t="s">
        <v>10</v>
      </c>
      <c r="E152" s="0" t="n">
        <v>4</v>
      </c>
      <c r="F152" s="4" t="n">
        <v>1824</v>
      </c>
      <c r="G152" s="4" t="n">
        <f aca="false">E152*F152</f>
        <v>7296</v>
      </c>
      <c r="H152" s="0" t="str">
        <f aca="false">TEXT(A152,"mmm-yy")</f>
        <v>Mar-26</v>
      </c>
    </row>
    <row r="153" customFormat="false" ht="15" hidden="false" customHeight="false" outlineLevel="0" collapsed="false">
      <c r="A153" s="2" t="n">
        <v>46084</v>
      </c>
      <c r="B153" s="3" t="s">
        <v>28</v>
      </c>
      <c r="C153" s="3" t="s">
        <v>20</v>
      </c>
      <c r="D153" s="3" t="s">
        <v>23</v>
      </c>
      <c r="E153" s="0" t="n">
        <v>5</v>
      </c>
      <c r="F153" s="4" t="n">
        <v>1611</v>
      </c>
      <c r="G153" s="4" t="n">
        <f aca="false">E153*F153</f>
        <v>8055</v>
      </c>
      <c r="H153" s="0" t="str">
        <f aca="false">TEXT(A153,"mmm-yy")</f>
        <v>Mar-26</v>
      </c>
    </row>
    <row r="154" customFormat="false" ht="15" hidden="false" customHeight="false" outlineLevel="0" collapsed="false">
      <c r="A154" s="2" t="n">
        <v>46085</v>
      </c>
      <c r="B154" s="3" t="s">
        <v>19</v>
      </c>
      <c r="C154" s="3" t="s">
        <v>20</v>
      </c>
      <c r="D154" s="3" t="s">
        <v>23</v>
      </c>
      <c r="E154" s="0" t="n">
        <v>5</v>
      </c>
      <c r="F154" s="4" t="n">
        <v>890</v>
      </c>
      <c r="G154" s="4" t="n">
        <f aca="false">E154*F154</f>
        <v>4450</v>
      </c>
      <c r="H154" s="0" t="str">
        <f aca="false">TEXT(A154,"mmm-yy")</f>
        <v>Mar-26</v>
      </c>
    </row>
    <row r="155" customFormat="false" ht="15" hidden="false" customHeight="false" outlineLevel="0" collapsed="false">
      <c r="A155" s="2" t="n">
        <v>46085</v>
      </c>
      <c r="B155" s="3" t="s">
        <v>25</v>
      </c>
      <c r="C155" s="3" t="s">
        <v>17</v>
      </c>
      <c r="D155" s="3" t="s">
        <v>23</v>
      </c>
      <c r="E155" s="0" t="n">
        <v>1</v>
      </c>
      <c r="F155" s="4" t="n">
        <v>2957</v>
      </c>
      <c r="G155" s="4" t="n">
        <f aca="false">E155*F155</f>
        <v>2957</v>
      </c>
      <c r="H155" s="0" t="str">
        <f aca="false">TEXT(A155,"mmm-yy")</f>
        <v>Mar-26</v>
      </c>
    </row>
    <row r="156" customFormat="false" ht="15" hidden="false" customHeight="false" outlineLevel="0" collapsed="false">
      <c r="A156" s="2" t="n">
        <v>46085</v>
      </c>
      <c r="B156" s="3" t="s">
        <v>19</v>
      </c>
      <c r="C156" s="3" t="s">
        <v>20</v>
      </c>
      <c r="D156" s="3" t="s">
        <v>18</v>
      </c>
      <c r="E156" s="0" t="n">
        <v>4</v>
      </c>
      <c r="F156" s="4" t="n">
        <v>862</v>
      </c>
      <c r="G156" s="4" t="n">
        <f aca="false">E156*F156</f>
        <v>3448</v>
      </c>
      <c r="H156" s="0" t="str">
        <f aca="false">TEXT(A156,"mmm-yy")</f>
        <v>Mar-26</v>
      </c>
    </row>
    <row r="157" customFormat="false" ht="15" hidden="false" customHeight="false" outlineLevel="0" collapsed="false">
      <c r="A157" s="2" t="n">
        <v>46085</v>
      </c>
      <c r="B157" s="3" t="s">
        <v>25</v>
      </c>
      <c r="C157" s="3" t="s">
        <v>17</v>
      </c>
      <c r="D157" s="3" t="s">
        <v>10</v>
      </c>
      <c r="E157" s="0" t="n">
        <v>3</v>
      </c>
      <c r="F157" s="4" t="n">
        <v>2588</v>
      </c>
      <c r="G157" s="4" t="n">
        <f aca="false">E157*F157</f>
        <v>7764</v>
      </c>
      <c r="H157" s="0" t="str">
        <f aca="false">TEXT(A157,"mmm-yy")</f>
        <v>Mar-26</v>
      </c>
    </row>
    <row r="158" customFormat="false" ht="15" hidden="false" customHeight="false" outlineLevel="0" collapsed="false">
      <c r="A158" s="2" t="n">
        <v>46086</v>
      </c>
      <c r="B158" s="3" t="s">
        <v>16</v>
      </c>
      <c r="C158" s="3" t="s">
        <v>17</v>
      </c>
      <c r="D158" s="3" t="s">
        <v>23</v>
      </c>
      <c r="E158" s="0" t="n">
        <v>3</v>
      </c>
      <c r="F158" s="4" t="n">
        <v>487</v>
      </c>
      <c r="G158" s="4" t="n">
        <f aca="false">E158*F158</f>
        <v>1461</v>
      </c>
      <c r="H158" s="0" t="str">
        <f aca="false">TEXT(A158,"mmm-yy")</f>
        <v>Mar-26</v>
      </c>
    </row>
    <row r="159" customFormat="false" ht="15" hidden="false" customHeight="false" outlineLevel="0" collapsed="false">
      <c r="A159" s="2" t="n">
        <v>46086</v>
      </c>
      <c r="B159" s="3" t="s">
        <v>29</v>
      </c>
      <c r="C159" s="3" t="s">
        <v>17</v>
      </c>
      <c r="D159" s="3" t="s">
        <v>13</v>
      </c>
      <c r="E159" s="0" t="n">
        <v>3</v>
      </c>
      <c r="F159" s="4" t="n">
        <v>2439</v>
      </c>
      <c r="G159" s="4" t="n">
        <f aca="false">E159*F159</f>
        <v>7317</v>
      </c>
      <c r="H159" s="0" t="str">
        <f aca="false">TEXT(A159,"mmm-yy")</f>
        <v>Mar-26</v>
      </c>
    </row>
    <row r="160" customFormat="false" ht="15" hidden="false" customHeight="false" outlineLevel="0" collapsed="false">
      <c r="A160" s="2" t="n">
        <v>46086</v>
      </c>
      <c r="B160" s="3" t="s">
        <v>24</v>
      </c>
      <c r="C160" s="3" t="s">
        <v>20</v>
      </c>
      <c r="D160" s="3" t="s">
        <v>10</v>
      </c>
      <c r="E160" s="0" t="n">
        <v>1</v>
      </c>
      <c r="F160" s="4" t="n">
        <v>642</v>
      </c>
      <c r="G160" s="4" t="n">
        <f aca="false">E160*F160</f>
        <v>642</v>
      </c>
      <c r="H160" s="0" t="str">
        <f aca="false">TEXT(A160,"mmm-yy")</f>
        <v>Mar-26</v>
      </c>
    </row>
    <row r="161" customFormat="false" ht="15" hidden="false" customHeight="false" outlineLevel="0" collapsed="false">
      <c r="A161" s="2" t="n">
        <v>46086</v>
      </c>
      <c r="B161" s="3" t="s">
        <v>11</v>
      </c>
      <c r="C161" s="3" t="s">
        <v>12</v>
      </c>
      <c r="D161" s="3" t="s">
        <v>10</v>
      </c>
      <c r="E161" s="0" t="n">
        <v>5</v>
      </c>
      <c r="F161" s="4" t="n">
        <v>639</v>
      </c>
      <c r="G161" s="4" t="n">
        <f aca="false">E161*F161</f>
        <v>3195</v>
      </c>
      <c r="H161" s="0" t="str">
        <f aca="false">TEXT(A161,"mmm-yy")</f>
        <v>Mar-26</v>
      </c>
    </row>
    <row r="162" customFormat="false" ht="15" hidden="false" customHeight="false" outlineLevel="0" collapsed="false">
      <c r="A162" s="2" t="n">
        <v>46087</v>
      </c>
      <c r="B162" s="3" t="s">
        <v>26</v>
      </c>
      <c r="C162" s="3" t="s">
        <v>15</v>
      </c>
      <c r="D162" s="3" t="s">
        <v>13</v>
      </c>
      <c r="E162" s="0" t="n">
        <v>4</v>
      </c>
      <c r="F162" s="4" t="n">
        <v>361</v>
      </c>
      <c r="G162" s="4" t="n">
        <f aca="false">E162*F162</f>
        <v>1444</v>
      </c>
      <c r="H162" s="0" t="str">
        <f aca="false">TEXT(A162,"mmm-yy")</f>
        <v>Mar-26</v>
      </c>
    </row>
    <row r="163" customFormat="false" ht="15" hidden="false" customHeight="false" outlineLevel="0" collapsed="false">
      <c r="A163" s="2" t="n">
        <v>46087</v>
      </c>
      <c r="B163" s="3" t="s">
        <v>22</v>
      </c>
      <c r="C163" s="3" t="s">
        <v>9</v>
      </c>
      <c r="D163" s="3" t="s">
        <v>10</v>
      </c>
      <c r="E163" s="0" t="n">
        <v>4</v>
      </c>
      <c r="F163" s="4" t="n">
        <v>3384</v>
      </c>
      <c r="G163" s="4" t="n">
        <f aca="false">E163*F163</f>
        <v>13536</v>
      </c>
      <c r="H163" s="0" t="str">
        <f aca="false">TEXT(A163,"mmm-yy")</f>
        <v>Mar-26</v>
      </c>
    </row>
    <row r="164" customFormat="false" ht="15" hidden="false" customHeight="false" outlineLevel="0" collapsed="false">
      <c r="A164" s="2" t="n">
        <v>46087</v>
      </c>
      <c r="B164" s="3" t="s">
        <v>29</v>
      </c>
      <c r="C164" s="3" t="s">
        <v>17</v>
      </c>
      <c r="D164" s="3" t="s">
        <v>18</v>
      </c>
      <c r="E164" s="0" t="n">
        <v>3</v>
      </c>
      <c r="F164" s="4" t="n">
        <v>2359</v>
      </c>
      <c r="G164" s="4" t="n">
        <f aca="false">E164*F164</f>
        <v>7077</v>
      </c>
      <c r="H164" s="0" t="str">
        <f aca="false">TEXT(A164,"mmm-yy")</f>
        <v>Mar-26</v>
      </c>
    </row>
    <row r="165" customFormat="false" ht="15" hidden="false" customHeight="false" outlineLevel="0" collapsed="false">
      <c r="A165" s="2" t="n">
        <v>46087</v>
      </c>
      <c r="B165" s="3" t="s">
        <v>24</v>
      </c>
      <c r="C165" s="3" t="s">
        <v>20</v>
      </c>
      <c r="D165" s="3" t="s">
        <v>23</v>
      </c>
      <c r="E165" s="0" t="n">
        <v>4</v>
      </c>
      <c r="F165" s="4" t="n">
        <v>602</v>
      </c>
      <c r="G165" s="4" t="n">
        <f aca="false">E165*F165</f>
        <v>2408</v>
      </c>
      <c r="H165" s="0" t="str">
        <f aca="false">TEXT(A165,"mmm-yy")</f>
        <v>Mar-26</v>
      </c>
    </row>
    <row r="166" customFormat="false" ht="15" hidden="false" customHeight="false" outlineLevel="0" collapsed="false">
      <c r="A166" s="2" t="n">
        <v>46088</v>
      </c>
      <c r="B166" s="3" t="s">
        <v>11</v>
      </c>
      <c r="C166" s="3" t="s">
        <v>12</v>
      </c>
      <c r="D166" s="3" t="s">
        <v>23</v>
      </c>
      <c r="E166" s="0" t="n">
        <v>3</v>
      </c>
      <c r="F166" s="4" t="n">
        <v>644</v>
      </c>
      <c r="G166" s="4" t="n">
        <f aca="false">E166*F166</f>
        <v>1932</v>
      </c>
      <c r="H166" s="0" t="str">
        <f aca="false">TEXT(A166,"mmm-yy")</f>
        <v>Mar-26</v>
      </c>
    </row>
    <row r="167" customFormat="false" ht="15" hidden="false" customHeight="false" outlineLevel="0" collapsed="false">
      <c r="A167" s="2" t="n">
        <v>46088</v>
      </c>
      <c r="B167" s="3" t="s">
        <v>16</v>
      </c>
      <c r="C167" s="3" t="s">
        <v>17</v>
      </c>
      <c r="D167" s="3" t="s">
        <v>23</v>
      </c>
      <c r="E167" s="0" t="n">
        <v>2</v>
      </c>
      <c r="F167" s="4" t="n">
        <v>469</v>
      </c>
      <c r="G167" s="4" t="n">
        <f aca="false">E167*F167</f>
        <v>938</v>
      </c>
      <c r="H167" s="0" t="str">
        <f aca="false">TEXT(A167,"mmm-yy")</f>
        <v>Mar-26</v>
      </c>
    </row>
    <row r="168" customFormat="false" ht="15" hidden="false" customHeight="false" outlineLevel="0" collapsed="false">
      <c r="A168" s="2" t="n">
        <v>46088</v>
      </c>
      <c r="B168" s="3" t="s">
        <v>22</v>
      </c>
      <c r="C168" s="3" t="s">
        <v>9</v>
      </c>
      <c r="D168" s="3" t="s">
        <v>10</v>
      </c>
      <c r="E168" s="0" t="n">
        <v>2</v>
      </c>
      <c r="F168" s="4" t="n">
        <v>3635</v>
      </c>
      <c r="G168" s="4" t="n">
        <f aca="false">E168*F168</f>
        <v>7270</v>
      </c>
      <c r="H168" s="0" t="str">
        <f aca="false">TEXT(A168,"mmm-yy")</f>
        <v>Mar-26</v>
      </c>
    </row>
    <row r="169" customFormat="false" ht="15" hidden="false" customHeight="false" outlineLevel="0" collapsed="false">
      <c r="A169" s="2" t="n">
        <v>46089</v>
      </c>
      <c r="B169" s="3" t="s">
        <v>11</v>
      </c>
      <c r="C169" s="3" t="s">
        <v>12</v>
      </c>
      <c r="D169" s="3" t="s">
        <v>23</v>
      </c>
      <c r="E169" s="0" t="n">
        <v>5</v>
      </c>
      <c r="F169" s="4" t="n">
        <v>647</v>
      </c>
      <c r="G169" s="4" t="n">
        <f aca="false">E169*F169</f>
        <v>3235</v>
      </c>
      <c r="H169" s="0" t="str">
        <f aca="false">TEXT(A169,"mmm-yy")</f>
        <v>Mar-26</v>
      </c>
    </row>
    <row r="170" customFormat="false" ht="15" hidden="false" customHeight="false" outlineLevel="0" collapsed="false">
      <c r="A170" s="2" t="n">
        <v>46089</v>
      </c>
      <c r="B170" s="3" t="s">
        <v>22</v>
      </c>
      <c r="C170" s="3" t="s">
        <v>9</v>
      </c>
      <c r="D170" s="3" t="s">
        <v>10</v>
      </c>
      <c r="E170" s="0" t="n">
        <v>3</v>
      </c>
      <c r="F170" s="4" t="n">
        <v>3685</v>
      </c>
      <c r="G170" s="4" t="n">
        <f aca="false">E170*F170</f>
        <v>11055</v>
      </c>
      <c r="H170" s="0" t="str">
        <f aca="false">TEXT(A170,"mmm-yy")</f>
        <v>Mar-26</v>
      </c>
    </row>
    <row r="171" customFormat="false" ht="15" hidden="false" customHeight="false" outlineLevel="0" collapsed="false">
      <c r="A171" s="2" t="n">
        <v>46090</v>
      </c>
      <c r="B171" s="3" t="s">
        <v>27</v>
      </c>
      <c r="C171" s="3" t="s">
        <v>9</v>
      </c>
      <c r="D171" s="3" t="s">
        <v>10</v>
      </c>
      <c r="E171" s="0" t="n">
        <v>5</v>
      </c>
      <c r="F171" s="4" t="n">
        <v>1452</v>
      </c>
      <c r="G171" s="4" t="n">
        <f aca="false">E171*F171</f>
        <v>7260</v>
      </c>
      <c r="H171" s="0" t="str">
        <f aca="false">TEXT(A171,"mmm-yy")</f>
        <v>Mar-26</v>
      </c>
    </row>
    <row r="172" customFormat="false" ht="15" hidden="false" customHeight="false" outlineLevel="0" collapsed="false">
      <c r="A172" s="2" t="n">
        <v>46090</v>
      </c>
      <c r="B172" s="3" t="s">
        <v>29</v>
      </c>
      <c r="C172" s="3" t="s">
        <v>17</v>
      </c>
      <c r="D172" s="3" t="s">
        <v>23</v>
      </c>
      <c r="E172" s="0" t="n">
        <v>1</v>
      </c>
      <c r="F172" s="4" t="n">
        <v>2132</v>
      </c>
      <c r="G172" s="4" t="n">
        <f aca="false">E172*F172</f>
        <v>2132</v>
      </c>
      <c r="H172" s="0" t="str">
        <f aca="false">TEXT(A172,"mmm-yy")</f>
        <v>Mar-26</v>
      </c>
    </row>
    <row r="173" customFormat="false" ht="15" hidden="false" customHeight="false" outlineLevel="0" collapsed="false">
      <c r="A173" s="2" t="n">
        <v>46090</v>
      </c>
      <c r="B173" s="3" t="s">
        <v>11</v>
      </c>
      <c r="C173" s="3" t="s">
        <v>12</v>
      </c>
      <c r="D173" s="3" t="s">
        <v>13</v>
      </c>
      <c r="E173" s="0" t="n">
        <v>4</v>
      </c>
      <c r="F173" s="4" t="n">
        <v>695</v>
      </c>
      <c r="G173" s="4" t="n">
        <f aca="false">E173*F173</f>
        <v>2780</v>
      </c>
      <c r="H173" s="0" t="str">
        <f aca="false">TEXT(A173,"mmm-yy")</f>
        <v>Mar-26</v>
      </c>
    </row>
    <row r="174" customFormat="false" ht="15" hidden="false" customHeight="false" outlineLevel="0" collapsed="false">
      <c r="A174" s="2" t="n">
        <v>46091</v>
      </c>
      <c r="B174" s="3" t="s">
        <v>14</v>
      </c>
      <c r="C174" s="3" t="s">
        <v>15</v>
      </c>
      <c r="D174" s="3" t="s">
        <v>18</v>
      </c>
      <c r="E174" s="0" t="n">
        <v>4</v>
      </c>
      <c r="F174" s="4" t="n">
        <v>771</v>
      </c>
      <c r="G174" s="4" t="n">
        <f aca="false">E174*F174</f>
        <v>3084</v>
      </c>
      <c r="H174" s="0" t="str">
        <f aca="false">TEXT(A174,"mmm-yy")</f>
        <v>Mar-26</v>
      </c>
    </row>
    <row r="175" customFormat="false" ht="15" hidden="false" customHeight="false" outlineLevel="0" collapsed="false">
      <c r="A175" s="2" t="n">
        <v>46092</v>
      </c>
      <c r="B175" s="3" t="s">
        <v>27</v>
      </c>
      <c r="C175" s="3" t="s">
        <v>9</v>
      </c>
      <c r="D175" s="3" t="s">
        <v>18</v>
      </c>
      <c r="E175" s="0" t="n">
        <v>3</v>
      </c>
      <c r="F175" s="4" t="n">
        <v>1611</v>
      </c>
      <c r="G175" s="4" t="n">
        <f aca="false">E175*F175</f>
        <v>4833</v>
      </c>
      <c r="H175" s="0" t="str">
        <f aca="false">TEXT(A175,"mmm-yy")</f>
        <v>Mar-26</v>
      </c>
    </row>
    <row r="176" customFormat="false" ht="15" hidden="false" customHeight="false" outlineLevel="0" collapsed="false">
      <c r="A176" s="2" t="n">
        <v>46092</v>
      </c>
      <c r="B176" s="3" t="s">
        <v>22</v>
      </c>
      <c r="C176" s="3" t="s">
        <v>9</v>
      </c>
      <c r="D176" s="3" t="s">
        <v>18</v>
      </c>
      <c r="E176" s="0" t="n">
        <v>4</v>
      </c>
      <c r="F176" s="4" t="n">
        <v>3679</v>
      </c>
      <c r="G176" s="4" t="n">
        <f aca="false">E176*F176</f>
        <v>14716</v>
      </c>
      <c r="H176" s="0" t="str">
        <f aca="false">TEXT(A176,"mmm-yy")</f>
        <v>Mar-26</v>
      </c>
    </row>
    <row r="177" customFormat="false" ht="15" hidden="false" customHeight="false" outlineLevel="0" collapsed="false">
      <c r="A177" s="2" t="n">
        <v>46092</v>
      </c>
      <c r="B177" s="3" t="s">
        <v>22</v>
      </c>
      <c r="C177" s="3" t="s">
        <v>9</v>
      </c>
      <c r="D177" s="3" t="s">
        <v>10</v>
      </c>
      <c r="E177" s="0" t="n">
        <v>1</v>
      </c>
      <c r="F177" s="4" t="n">
        <v>3542</v>
      </c>
      <c r="G177" s="4" t="n">
        <f aca="false">E177*F177</f>
        <v>3542</v>
      </c>
      <c r="H177" s="0" t="str">
        <f aca="false">TEXT(A177,"mmm-yy")</f>
        <v>Mar-26</v>
      </c>
    </row>
    <row r="178" customFormat="false" ht="15" hidden="false" customHeight="false" outlineLevel="0" collapsed="false">
      <c r="A178" s="2" t="n">
        <v>46093</v>
      </c>
      <c r="B178" s="3" t="s">
        <v>21</v>
      </c>
      <c r="C178" s="3" t="s">
        <v>12</v>
      </c>
      <c r="D178" s="3" t="s">
        <v>13</v>
      </c>
      <c r="E178" s="0" t="n">
        <v>3</v>
      </c>
      <c r="F178" s="4" t="n">
        <v>403</v>
      </c>
      <c r="G178" s="4" t="n">
        <f aca="false">E178*F178</f>
        <v>1209</v>
      </c>
      <c r="H178" s="0" t="str">
        <f aca="false">TEXT(A178,"mmm-yy")</f>
        <v>Mar-26</v>
      </c>
    </row>
    <row r="179" customFormat="false" ht="15" hidden="false" customHeight="false" outlineLevel="0" collapsed="false">
      <c r="A179" s="2" t="n">
        <v>46093</v>
      </c>
      <c r="B179" s="3" t="s">
        <v>16</v>
      </c>
      <c r="C179" s="3" t="s">
        <v>17</v>
      </c>
      <c r="D179" s="3" t="s">
        <v>10</v>
      </c>
      <c r="E179" s="0" t="n">
        <v>4</v>
      </c>
      <c r="F179" s="4" t="n">
        <v>469</v>
      </c>
      <c r="G179" s="4" t="n">
        <f aca="false">E179*F179</f>
        <v>1876</v>
      </c>
      <c r="H179" s="0" t="str">
        <f aca="false">TEXT(A179,"mmm-yy")</f>
        <v>Mar-26</v>
      </c>
    </row>
    <row r="180" customFormat="false" ht="15" hidden="false" customHeight="false" outlineLevel="0" collapsed="false">
      <c r="A180" s="2" t="n">
        <v>46094</v>
      </c>
      <c r="B180" s="3" t="s">
        <v>19</v>
      </c>
      <c r="C180" s="3" t="s">
        <v>20</v>
      </c>
      <c r="D180" s="3" t="s">
        <v>18</v>
      </c>
      <c r="E180" s="0" t="n">
        <v>3</v>
      </c>
      <c r="F180" s="4" t="n">
        <v>958</v>
      </c>
      <c r="G180" s="4" t="n">
        <f aca="false">E180*F180</f>
        <v>2874</v>
      </c>
      <c r="H180" s="0" t="str">
        <f aca="false">TEXT(A180,"mmm-yy")</f>
        <v>Mar-26</v>
      </c>
    </row>
    <row r="181" customFormat="false" ht="15" hidden="false" customHeight="false" outlineLevel="0" collapsed="false">
      <c r="A181" s="2" t="n">
        <v>46094</v>
      </c>
      <c r="B181" s="3" t="s">
        <v>29</v>
      </c>
      <c r="C181" s="3" t="s">
        <v>17</v>
      </c>
      <c r="D181" s="3" t="s">
        <v>13</v>
      </c>
      <c r="E181" s="0" t="n">
        <v>1</v>
      </c>
      <c r="F181" s="4" t="n">
        <v>2324</v>
      </c>
      <c r="G181" s="4" t="n">
        <f aca="false">E181*F181</f>
        <v>2324</v>
      </c>
      <c r="H181" s="0" t="str">
        <f aca="false">TEXT(A181,"mmm-yy")</f>
        <v>Mar-26</v>
      </c>
    </row>
    <row r="182" customFormat="false" ht="15" hidden="false" customHeight="false" outlineLevel="0" collapsed="false">
      <c r="A182" s="2" t="n">
        <v>46094</v>
      </c>
      <c r="B182" s="3" t="s">
        <v>21</v>
      </c>
      <c r="C182" s="3" t="s">
        <v>12</v>
      </c>
      <c r="D182" s="3" t="s">
        <v>23</v>
      </c>
      <c r="E182" s="0" t="n">
        <v>2</v>
      </c>
      <c r="F182" s="4" t="n">
        <v>380</v>
      </c>
      <c r="G182" s="4" t="n">
        <f aca="false">E182*F182</f>
        <v>760</v>
      </c>
      <c r="H182" s="0" t="str">
        <f aca="false">TEXT(A182,"mmm-yy")</f>
        <v>Mar-26</v>
      </c>
    </row>
    <row r="183" customFormat="false" ht="15" hidden="false" customHeight="false" outlineLevel="0" collapsed="false">
      <c r="A183" s="2" t="n">
        <v>46094</v>
      </c>
      <c r="B183" s="3" t="s">
        <v>26</v>
      </c>
      <c r="C183" s="3" t="s">
        <v>15</v>
      </c>
      <c r="D183" s="3" t="s">
        <v>10</v>
      </c>
      <c r="E183" s="0" t="n">
        <v>2</v>
      </c>
      <c r="F183" s="4" t="n">
        <v>326</v>
      </c>
      <c r="G183" s="4" t="n">
        <f aca="false">E183*F183</f>
        <v>652</v>
      </c>
      <c r="H183" s="0" t="str">
        <f aca="false">TEXT(A183,"mmm-yy")</f>
        <v>Mar-26</v>
      </c>
    </row>
    <row r="184" customFormat="false" ht="15" hidden="false" customHeight="false" outlineLevel="0" collapsed="false">
      <c r="A184" s="2" t="n">
        <v>46095</v>
      </c>
      <c r="B184" s="3" t="s">
        <v>27</v>
      </c>
      <c r="C184" s="3" t="s">
        <v>9</v>
      </c>
      <c r="D184" s="3" t="s">
        <v>18</v>
      </c>
      <c r="E184" s="0" t="n">
        <v>4</v>
      </c>
      <c r="F184" s="4" t="n">
        <v>1380</v>
      </c>
      <c r="G184" s="4" t="n">
        <f aca="false">E184*F184</f>
        <v>5520</v>
      </c>
      <c r="H184" s="0" t="str">
        <f aca="false">TEXT(A184,"mmm-yy")</f>
        <v>Mar-26</v>
      </c>
    </row>
    <row r="185" customFormat="false" ht="15" hidden="false" customHeight="false" outlineLevel="0" collapsed="false">
      <c r="A185" s="2" t="n">
        <v>46096</v>
      </c>
      <c r="B185" s="3" t="s">
        <v>8</v>
      </c>
      <c r="C185" s="3" t="s">
        <v>9</v>
      </c>
      <c r="D185" s="3" t="s">
        <v>18</v>
      </c>
      <c r="E185" s="0" t="n">
        <v>3</v>
      </c>
      <c r="F185" s="4" t="n">
        <v>1817</v>
      </c>
      <c r="G185" s="4" t="n">
        <f aca="false">E185*F185</f>
        <v>5451</v>
      </c>
      <c r="H185" s="0" t="str">
        <f aca="false">TEXT(A185,"mmm-yy")</f>
        <v>Mar-26</v>
      </c>
    </row>
    <row r="186" customFormat="false" ht="15" hidden="false" customHeight="false" outlineLevel="0" collapsed="false">
      <c r="A186" s="2" t="n">
        <v>46096</v>
      </c>
      <c r="B186" s="3" t="s">
        <v>22</v>
      </c>
      <c r="C186" s="3" t="s">
        <v>9</v>
      </c>
      <c r="D186" s="3" t="s">
        <v>10</v>
      </c>
      <c r="E186" s="0" t="n">
        <v>3</v>
      </c>
      <c r="F186" s="4" t="n">
        <v>3604</v>
      </c>
      <c r="G186" s="4" t="n">
        <f aca="false">E186*F186</f>
        <v>10812</v>
      </c>
      <c r="H186" s="0" t="str">
        <f aca="false">TEXT(A186,"mmm-yy")</f>
        <v>Mar-26</v>
      </c>
    </row>
    <row r="187" customFormat="false" ht="15" hidden="false" customHeight="false" outlineLevel="0" collapsed="false">
      <c r="A187" s="2" t="n">
        <v>46096</v>
      </c>
      <c r="B187" s="3" t="s">
        <v>28</v>
      </c>
      <c r="C187" s="3" t="s">
        <v>20</v>
      </c>
      <c r="D187" s="3" t="s">
        <v>10</v>
      </c>
      <c r="E187" s="0" t="n">
        <v>2</v>
      </c>
      <c r="F187" s="4" t="n">
        <v>1594</v>
      </c>
      <c r="G187" s="4" t="n">
        <f aca="false">E187*F187</f>
        <v>3188</v>
      </c>
      <c r="H187" s="0" t="str">
        <f aca="false">TEXT(A187,"mmm-yy")</f>
        <v>Mar-26</v>
      </c>
    </row>
    <row r="188" customFormat="false" ht="15" hidden="false" customHeight="false" outlineLevel="0" collapsed="false">
      <c r="A188" s="2" t="n">
        <v>46097</v>
      </c>
      <c r="B188" s="3" t="s">
        <v>27</v>
      </c>
      <c r="C188" s="3" t="s">
        <v>9</v>
      </c>
      <c r="D188" s="3" t="s">
        <v>23</v>
      </c>
      <c r="E188" s="0" t="n">
        <v>2</v>
      </c>
      <c r="F188" s="4" t="n">
        <v>1396</v>
      </c>
      <c r="G188" s="4" t="n">
        <f aca="false">E188*F188</f>
        <v>2792</v>
      </c>
      <c r="H188" s="0" t="str">
        <f aca="false">TEXT(A188,"mmm-yy")</f>
        <v>Mar-26</v>
      </c>
    </row>
    <row r="189" customFormat="false" ht="15" hidden="false" customHeight="false" outlineLevel="0" collapsed="false">
      <c r="A189" s="2" t="n">
        <v>46097</v>
      </c>
      <c r="B189" s="3" t="s">
        <v>14</v>
      </c>
      <c r="C189" s="3" t="s">
        <v>15</v>
      </c>
      <c r="D189" s="3" t="s">
        <v>23</v>
      </c>
      <c r="E189" s="0" t="n">
        <v>5</v>
      </c>
      <c r="F189" s="4" t="n">
        <v>831</v>
      </c>
      <c r="G189" s="4" t="n">
        <f aca="false">E189*F189</f>
        <v>4155</v>
      </c>
      <c r="H189" s="0" t="str">
        <f aca="false">TEXT(A189,"mmm-yy")</f>
        <v>Mar-26</v>
      </c>
    </row>
    <row r="190" customFormat="false" ht="15" hidden="false" customHeight="false" outlineLevel="0" collapsed="false">
      <c r="A190" s="2" t="n">
        <v>46097</v>
      </c>
      <c r="B190" s="3" t="s">
        <v>19</v>
      </c>
      <c r="C190" s="3" t="s">
        <v>20</v>
      </c>
      <c r="D190" s="3" t="s">
        <v>18</v>
      </c>
      <c r="E190" s="0" t="n">
        <v>3</v>
      </c>
      <c r="F190" s="4" t="n">
        <v>845</v>
      </c>
      <c r="G190" s="4" t="n">
        <f aca="false">E190*F190</f>
        <v>2535</v>
      </c>
      <c r="H190" s="0" t="str">
        <f aca="false">TEXT(A190,"mmm-yy")</f>
        <v>Mar-26</v>
      </c>
    </row>
    <row r="191" customFormat="false" ht="15" hidden="false" customHeight="false" outlineLevel="0" collapsed="false">
      <c r="A191" s="2" t="n">
        <v>46098</v>
      </c>
      <c r="B191" s="3" t="s">
        <v>24</v>
      </c>
      <c r="C191" s="3" t="s">
        <v>20</v>
      </c>
      <c r="D191" s="3" t="s">
        <v>13</v>
      </c>
      <c r="E191" s="0" t="n">
        <v>4</v>
      </c>
      <c r="F191" s="4" t="n">
        <v>603</v>
      </c>
      <c r="G191" s="4" t="n">
        <f aca="false">E191*F191</f>
        <v>2412</v>
      </c>
      <c r="H191" s="0" t="str">
        <f aca="false">TEXT(A191,"mmm-yy")</f>
        <v>Mar-26</v>
      </c>
    </row>
    <row r="192" customFormat="false" ht="15" hidden="false" customHeight="false" outlineLevel="0" collapsed="false">
      <c r="A192" s="2" t="n">
        <v>46098</v>
      </c>
      <c r="B192" s="3" t="s">
        <v>14</v>
      </c>
      <c r="C192" s="3" t="s">
        <v>15</v>
      </c>
      <c r="D192" s="3" t="s">
        <v>23</v>
      </c>
      <c r="E192" s="0" t="n">
        <v>4</v>
      </c>
      <c r="F192" s="4" t="n">
        <v>740</v>
      </c>
      <c r="G192" s="4" t="n">
        <f aca="false">E192*F192</f>
        <v>2960</v>
      </c>
      <c r="H192" s="0" t="str">
        <f aca="false">TEXT(A192,"mmm-yy")</f>
        <v>Mar-26</v>
      </c>
    </row>
    <row r="193" customFormat="false" ht="15" hidden="false" customHeight="false" outlineLevel="0" collapsed="false">
      <c r="A193" s="2" t="n">
        <v>46098</v>
      </c>
      <c r="B193" s="3" t="s">
        <v>14</v>
      </c>
      <c r="C193" s="3" t="s">
        <v>15</v>
      </c>
      <c r="D193" s="3" t="s">
        <v>10</v>
      </c>
      <c r="E193" s="0" t="n">
        <v>1</v>
      </c>
      <c r="F193" s="4" t="n">
        <v>767</v>
      </c>
      <c r="G193" s="4" t="n">
        <f aca="false">E193*F193</f>
        <v>767</v>
      </c>
      <c r="H193" s="0" t="str">
        <f aca="false">TEXT(A193,"mmm-yy")</f>
        <v>Mar-26</v>
      </c>
    </row>
    <row r="194" customFormat="false" ht="15" hidden="false" customHeight="false" outlineLevel="0" collapsed="false">
      <c r="A194" s="2" t="n">
        <v>46099</v>
      </c>
      <c r="B194" s="3" t="s">
        <v>21</v>
      </c>
      <c r="C194" s="3" t="s">
        <v>12</v>
      </c>
      <c r="D194" s="3" t="s">
        <v>13</v>
      </c>
      <c r="E194" s="0" t="n">
        <v>3</v>
      </c>
      <c r="F194" s="4" t="n">
        <v>410</v>
      </c>
      <c r="G194" s="4" t="n">
        <f aca="false">E194*F194</f>
        <v>1230</v>
      </c>
      <c r="H194" s="0" t="str">
        <f aca="false">TEXT(A194,"mmm-yy")</f>
        <v>Mar-26</v>
      </c>
    </row>
    <row r="195" customFormat="false" ht="15" hidden="false" customHeight="false" outlineLevel="0" collapsed="false">
      <c r="A195" s="2" t="n">
        <v>46100</v>
      </c>
      <c r="B195" s="3" t="s">
        <v>19</v>
      </c>
      <c r="C195" s="3" t="s">
        <v>20</v>
      </c>
      <c r="D195" s="3" t="s">
        <v>23</v>
      </c>
      <c r="E195" s="0" t="n">
        <v>4</v>
      </c>
      <c r="F195" s="4" t="n">
        <v>902</v>
      </c>
      <c r="G195" s="4" t="n">
        <f aca="false">E195*F195</f>
        <v>3608</v>
      </c>
      <c r="H195" s="0" t="str">
        <f aca="false">TEXT(A195,"mmm-yy")</f>
        <v>Mar-26</v>
      </c>
    </row>
    <row r="196" customFormat="false" ht="15" hidden="false" customHeight="false" outlineLevel="0" collapsed="false">
      <c r="A196" s="2" t="n">
        <v>46100</v>
      </c>
      <c r="B196" s="3" t="s">
        <v>27</v>
      </c>
      <c r="C196" s="3" t="s">
        <v>9</v>
      </c>
      <c r="D196" s="3" t="s">
        <v>18</v>
      </c>
      <c r="E196" s="0" t="n">
        <v>4</v>
      </c>
      <c r="F196" s="4" t="n">
        <v>1618</v>
      </c>
      <c r="G196" s="4" t="n">
        <f aca="false">E196*F196</f>
        <v>6472</v>
      </c>
      <c r="H196" s="0" t="str">
        <f aca="false">TEXT(A196,"mmm-yy")</f>
        <v>Mar-26</v>
      </c>
    </row>
    <row r="197" customFormat="false" ht="15" hidden="false" customHeight="false" outlineLevel="0" collapsed="false">
      <c r="A197" s="2" t="n">
        <v>46101</v>
      </c>
      <c r="B197" s="3" t="s">
        <v>19</v>
      </c>
      <c r="C197" s="3" t="s">
        <v>20</v>
      </c>
      <c r="D197" s="3" t="s">
        <v>23</v>
      </c>
      <c r="E197" s="0" t="n">
        <v>3</v>
      </c>
      <c r="F197" s="4" t="n">
        <v>877</v>
      </c>
      <c r="G197" s="4" t="n">
        <f aca="false">E197*F197</f>
        <v>2631</v>
      </c>
      <c r="H197" s="0" t="str">
        <f aca="false">TEXT(A197,"mmm-yy")</f>
        <v>Mar-26</v>
      </c>
    </row>
    <row r="198" customFormat="false" ht="15" hidden="false" customHeight="false" outlineLevel="0" collapsed="false">
      <c r="A198" s="2" t="n">
        <v>46102</v>
      </c>
      <c r="B198" s="3" t="s">
        <v>27</v>
      </c>
      <c r="C198" s="3" t="s">
        <v>9</v>
      </c>
      <c r="D198" s="3" t="s">
        <v>23</v>
      </c>
      <c r="E198" s="0" t="n">
        <v>4</v>
      </c>
      <c r="F198" s="4" t="n">
        <v>1458</v>
      </c>
      <c r="G198" s="4" t="n">
        <f aca="false">E198*F198</f>
        <v>5832</v>
      </c>
      <c r="H198" s="0" t="str">
        <f aca="false">TEXT(A198,"mmm-yy")</f>
        <v>Mar-26</v>
      </c>
    </row>
    <row r="199" customFormat="false" ht="15" hidden="false" customHeight="false" outlineLevel="0" collapsed="false">
      <c r="A199" s="2" t="n">
        <v>46103</v>
      </c>
      <c r="B199" s="3" t="s">
        <v>21</v>
      </c>
      <c r="C199" s="3" t="s">
        <v>12</v>
      </c>
      <c r="D199" s="3" t="s">
        <v>13</v>
      </c>
      <c r="E199" s="0" t="n">
        <v>4</v>
      </c>
      <c r="F199" s="4" t="n">
        <v>402</v>
      </c>
      <c r="G199" s="4" t="n">
        <f aca="false">E199*F199</f>
        <v>1608</v>
      </c>
      <c r="H199" s="0" t="str">
        <f aca="false">TEXT(A199,"mmm-yy")</f>
        <v>Mar-26</v>
      </c>
    </row>
    <row r="200" customFormat="false" ht="15" hidden="false" customHeight="false" outlineLevel="0" collapsed="false">
      <c r="A200" s="2" t="n">
        <v>46103</v>
      </c>
      <c r="B200" s="3" t="s">
        <v>25</v>
      </c>
      <c r="C200" s="3" t="s">
        <v>17</v>
      </c>
      <c r="D200" s="3" t="s">
        <v>18</v>
      </c>
      <c r="E200" s="0" t="n">
        <v>1</v>
      </c>
      <c r="F200" s="4" t="n">
        <v>2688</v>
      </c>
      <c r="G200" s="4" t="n">
        <f aca="false">E200*F200</f>
        <v>2688</v>
      </c>
      <c r="H200" s="0" t="str">
        <f aca="false">TEXT(A200,"mmm-yy")</f>
        <v>Mar-26</v>
      </c>
    </row>
    <row r="201" customFormat="false" ht="15" hidden="false" customHeight="false" outlineLevel="0" collapsed="false">
      <c r="A201" s="2" t="n">
        <v>46103</v>
      </c>
      <c r="B201" s="3" t="s">
        <v>24</v>
      </c>
      <c r="C201" s="3" t="s">
        <v>20</v>
      </c>
      <c r="D201" s="3" t="s">
        <v>18</v>
      </c>
      <c r="E201" s="0" t="n">
        <v>1</v>
      </c>
      <c r="F201" s="4" t="n">
        <v>630</v>
      </c>
      <c r="G201" s="4" t="n">
        <f aca="false">E201*F201</f>
        <v>630</v>
      </c>
      <c r="H201" s="0" t="str">
        <f aca="false">TEXT(A201,"mmm-yy")</f>
        <v>Mar-26</v>
      </c>
    </row>
    <row r="202" customFormat="false" ht="15" hidden="false" customHeight="false" outlineLevel="0" collapsed="false">
      <c r="A202" s="2" t="n">
        <v>46103</v>
      </c>
      <c r="B202" s="3" t="s">
        <v>28</v>
      </c>
      <c r="C202" s="3" t="s">
        <v>20</v>
      </c>
      <c r="D202" s="3" t="s">
        <v>23</v>
      </c>
      <c r="E202" s="0" t="n">
        <v>5</v>
      </c>
      <c r="F202" s="4" t="n">
        <v>1578</v>
      </c>
      <c r="G202" s="4" t="n">
        <f aca="false">E202*F202</f>
        <v>7890</v>
      </c>
      <c r="H202" s="0" t="str">
        <f aca="false">TEXT(A202,"mmm-yy")</f>
        <v>Mar-26</v>
      </c>
    </row>
    <row r="203" customFormat="false" ht="15" hidden="false" customHeight="false" outlineLevel="0" collapsed="false">
      <c r="A203" s="2" t="n">
        <v>46104</v>
      </c>
      <c r="B203" s="3" t="s">
        <v>26</v>
      </c>
      <c r="C203" s="3" t="s">
        <v>15</v>
      </c>
      <c r="D203" s="3" t="s">
        <v>10</v>
      </c>
      <c r="E203" s="0" t="n">
        <v>1</v>
      </c>
      <c r="F203" s="4" t="n">
        <v>346</v>
      </c>
      <c r="G203" s="4" t="n">
        <f aca="false">E203*F203</f>
        <v>346</v>
      </c>
      <c r="H203" s="0" t="str">
        <f aca="false">TEXT(A203,"mmm-yy")</f>
        <v>Mar-26</v>
      </c>
    </row>
    <row r="204" customFormat="false" ht="15" hidden="false" customHeight="false" outlineLevel="0" collapsed="false">
      <c r="A204" s="2" t="n">
        <v>46104</v>
      </c>
      <c r="B204" s="3" t="s">
        <v>29</v>
      </c>
      <c r="C204" s="3" t="s">
        <v>17</v>
      </c>
      <c r="D204" s="3" t="s">
        <v>18</v>
      </c>
      <c r="E204" s="0" t="n">
        <v>3</v>
      </c>
      <c r="F204" s="4" t="n">
        <v>2317</v>
      </c>
      <c r="G204" s="4" t="n">
        <f aca="false">E204*F204</f>
        <v>6951</v>
      </c>
      <c r="H204" s="0" t="str">
        <f aca="false">TEXT(A204,"mmm-yy")</f>
        <v>Mar-26</v>
      </c>
    </row>
    <row r="205" customFormat="false" ht="15" hidden="false" customHeight="false" outlineLevel="0" collapsed="false">
      <c r="A205" s="2" t="n">
        <v>46104</v>
      </c>
      <c r="B205" s="3" t="s">
        <v>11</v>
      </c>
      <c r="C205" s="3" t="s">
        <v>12</v>
      </c>
      <c r="D205" s="3" t="s">
        <v>10</v>
      </c>
      <c r="E205" s="0" t="n">
        <v>1</v>
      </c>
      <c r="F205" s="4" t="n">
        <v>647</v>
      </c>
      <c r="G205" s="4" t="n">
        <f aca="false">E205*F205</f>
        <v>647</v>
      </c>
      <c r="H205" s="0" t="str">
        <f aca="false">TEXT(A205,"mmm-yy")</f>
        <v>Mar-26</v>
      </c>
    </row>
    <row r="206" customFormat="false" ht="15" hidden="false" customHeight="false" outlineLevel="0" collapsed="false">
      <c r="A206" s="2" t="n">
        <v>46104</v>
      </c>
      <c r="B206" s="3" t="s">
        <v>11</v>
      </c>
      <c r="C206" s="3" t="s">
        <v>12</v>
      </c>
      <c r="D206" s="3" t="s">
        <v>13</v>
      </c>
      <c r="E206" s="0" t="n">
        <v>5</v>
      </c>
      <c r="F206" s="4" t="n">
        <v>614</v>
      </c>
      <c r="G206" s="4" t="n">
        <f aca="false">E206*F206</f>
        <v>3070</v>
      </c>
      <c r="H206" s="0" t="str">
        <f aca="false">TEXT(A206,"mmm-yy")</f>
        <v>Mar-26</v>
      </c>
    </row>
    <row r="207" customFormat="false" ht="15" hidden="false" customHeight="false" outlineLevel="0" collapsed="false">
      <c r="A207" s="2" t="n">
        <v>46105</v>
      </c>
      <c r="B207" s="3" t="s">
        <v>22</v>
      </c>
      <c r="C207" s="3" t="s">
        <v>9</v>
      </c>
      <c r="D207" s="3" t="s">
        <v>18</v>
      </c>
      <c r="E207" s="0" t="n">
        <v>1</v>
      </c>
      <c r="F207" s="4" t="n">
        <v>3345</v>
      </c>
      <c r="G207" s="4" t="n">
        <f aca="false">E207*F207</f>
        <v>3345</v>
      </c>
      <c r="H207" s="0" t="str">
        <f aca="false">TEXT(A207,"mmm-yy")</f>
        <v>Mar-26</v>
      </c>
    </row>
    <row r="208" customFormat="false" ht="15" hidden="false" customHeight="false" outlineLevel="0" collapsed="false">
      <c r="A208" s="2" t="n">
        <v>46105</v>
      </c>
      <c r="B208" s="3" t="s">
        <v>22</v>
      </c>
      <c r="C208" s="3" t="s">
        <v>9</v>
      </c>
      <c r="D208" s="3" t="s">
        <v>18</v>
      </c>
      <c r="E208" s="0" t="n">
        <v>2</v>
      </c>
      <c r="F208" s="4" t="n">
        <v>3582</v>
      </c>
      <c r="G208" s="4" t="n">
        <f aca="false">E208*F208</f>
        <v>7164</v>
      </c>
      <c r="H208" s="0" t="str">
        <f aca="false">TEXT(A208,"mmm-yy")</f>
        <v>Mar-26</v>
      </c>
    </row>
    <row r="209" customFormat="false" ht="15" hidden="false" customHeight="false" outlineLevel="0" collapsed="false">
      <c r="A209" s="2" t="n">
        <v>46105</v>
      </c>
      <c r="B209" s="3" t="s">
        <v>11</v>
      </c>
      <c r="C209" s="3" t="s">
        <v>12</v>
      </c>
      <c r="D209" s="3" t="s">
        <v>18</v>
      </c>
      <c r="E209" s="0" t="n">
        <v>3</v>
      </c>
      <c r="F209" s="4" t="n">
        <v>627</v>
      </c>
      <c r="G209" s="4" t="n">
        <f aca="false">E209*F209</f>
        <v>1881</v>
      </c>
      <c r="H209" s="0" t="str">
        <f aca="false">TEXT(A209,"mmm-yy")</f>
        <v>Mar-26</v>
      </c>
    </row>
    <row r="210" customFormat="false" ht="15" hidden="false" customHeight="false" outlineLevel="0" collapsed="false">
      <c r="A210" s="2" t="n">
        <v>46105</v>
      </c>
      <c r="B210" s="3" t="s">
        <v>19</v>
      </c>
      <c r="C210" s="3" t="s">
        <v>20</v>
      </c>
      <c r="D210" s="3" t="s">
        <v>18</v>
      </c>
      <c r="E210" s="0" t="n">
        <v>2</v>
      </c>
      <c r="F210" s="4" t="n">
        <v>968</v>
      </c>
      <c r="G210" s="4" t="n">
        <f aca="false">E210*F210</f>
        <v>1936</v>
      </c>
      <c r="H210" s="0" t="str">
        <f aca="false">TEXT(A210,"mmm-yy")</f>
        <v>Mar-26</v>
      </c>
    </row>
    <row r="211" customFormat="false" ht="15" hidden="false" customHeight="false" outlineLevel="0" collapsed="false">
      <c r="A211" s="2" t="n">
        <v>46106</v>
      </c>
      <c r="B211" s="3" t="s">
        <v>28</v>
      </c>
      <c r="C211" s="3" t="s">
        <v>20</v>
      </c>
      <c r="D211" s="3" t="s">
        <v>10</v>
      </c>
      <c r="E211" s="0" t="n">
        <v>5</v>
      </c>
      <c r="F211" s="4" t="n">
        <v>1615</v>
      </c>
      <c r="G211" s="4" t="n">
        <f aca="false">E211*F211</f>
        <v>8075</v>
      </c>
      <c r="H211" s="0" t="str">
        <f aca="false">TEXT(A211,"mmm-yy")</f>
        <v>Mar-26</v>
      </c>
    </row>
    <row r="212" customFormat="false" ht="15" hidden="false" customHeight="false" outlineLevel="0" collapsed="false">
      <c r="A212" s="2" t="n">
        <v>46106</v>
      </c>
      <c r="B212" s="3" t="s">
        <v>22</v>
      </c>
      <c r="C212" s="3" t="s">
        <v>9</v>
      </c>
      <c r="D212" s="3" t="s">
        <v>23</v>
      </c>
      <c r="E212" s="0" t="n">
        <v>4</v>
      </c>
      <c r="F212" s="4" t="n">
        <v>3374</v>
      </c>
      <c r="G212" s="4" t="n">
        <f aca="false">E212*F212</f>
        <v>13496</v>
      </c>
      <c r="H212" s="0" t="str">
        <f aca="false">TEXT(A212,"mmm-yy")</f>
        <v>Mar-26</v>
      </c>
    </row>
    <row r="213" customFormat="false" ht="15" hidden="false" customHeight="false" outlineLevel="0" collapsed="false">
      <c r="A213" s="2" t="n">
        <v>46107</v>
      </c>
      <c r="B213" s="3" t="s">
        <v>8</v>
      </c>
      <c r="C213" s="3" t="s">
        <v>9</v>
      </c>
      <c r="D213" s="3" t="s">
        <v>18</v>
      </c>
      <c r="E213" s="0" t="n">
        <v>3</v>
      </c>
      <c r="F213" s="4" t="n">
        <v>1833</v>
      </c>
      <c r="G213" s="4" t="n">
        <f aca="false">E213*F213</f>
        <v>5499</v>
      </c>
      <c r="H213" s="0" t="str">
        <f aca="false">TEXT(A213,"mmm-yy")</f>
        <v>Mar-26</v>
      </c>
    </row>
    <row r="214" customFormat="false" ht="15" hidden="false" customHeight="false" outlineLevel="0" collapsed="false">
      <c r="A214" s="2" t="n">
        <v>46107</v>
      </c>
      <c r="B214" s="3" t="s">
        <v>27</v>
      </c>
      <c r="C214" s="3" t="s">
        <v>9</v>
      </c>
      <c r="D214" s="3" t="s">
        <v>23</v>
      </c>
      <c r="E214" s="0" t="n">
        <v>4</v>
      </c>
      <c r="F214" s="4" t="n">
        <v>1486</v>
      </c>
      <c r="G214" s="4" t="n">
        <f aca="false">E214*F214</f>
        <v>5944</v>
      </c>
      <c r="H214" s="0" t="str">
        <f aca="false">TEXT(A214,"mmm-yy")</f>
        <v>Mar-26</v>
      </c>
    </row>
    <row r="215" customFormat="false" ht="15" hidden="false" customHeight="false" outlineLevel="0" collapsed="false">
      <c r="A215" s="2" t="n">
        <v>46107</v>
      </c>
      <c r="B215" s="3" t="s">
        <v>25</v>
      </c>
      <c r="C215" s="3" t="s">
        <v>17</v>
      </c>
      <c r="D215" s="3" t="s">
        <v>18</v>
      </c>
      <c r="E215" s="0" t="n">
        <v>5</v>
      </c>
      <c r="F215" s="4" t="n">
        <v>2822</v>
      </c>
      <c r="G215" s="4" t="n">
        <f aca="false">E215*F215</f>
        <v>14110</v>
      </c>
      <c r="H215" s="0" t="str">
        <f aca="false">TEXT(A215,"mmm-yy")</f>
        <v>Mar-26</v>
      </c>
    </row>
    <row r="216" customFormat="false" ht="15" hidden="false" customHeight="false" outlineLevel="0" collapsed="false">
      <c r="A216" s="2" t="n">
        <v>46108</v>
      </c>
      <c r="B216" s="3" t="s">
        <v>25</v>
      </c>
      <c r="C216" s="3" t="s">
        <v>17</v>
      </c>
      <c r="D216" s="3" t="s">
        <v>18</v>
      </c>
      <c r="E216" s="0" t="n">
        <v>2</v>
      </c>
      <c r="F216" s="4" t="n">
        <v>2965</v>
      </c>
      <c r="G216" s="4" t="n">
        <f aca="false">E216*F216</f>
        <v>5930</v>
      </c>
      <c r="H216" s="0" t="str">
        <f aca="false">TEXT(A216,"mmm-yy")</f>
        <v>Mar-26</v>
      </c>
    </row>
    <row r="217" customFormat="false" ht="15" hidden="false" customHeight="false" outlineLevel="0" collapsed="false">
      <c r="A217" s="2" t="n">
        <v>46108</v>
      </c>
      <c r="B217" s="3" t="s">
        <v>16</v>
      </c>
      <c r="C217" s="3" t="s">
        <v>17</v>
      </c>
      <c r="D217" s="3" t="s">
        <v>13</v>
      </c>
      <c r="E217" s="0" t="n">
        <v>4</v>
      </c>
      <c r="F217" s="4" t="n">
        <v>527</v>
      </c>
      <c r="G217" s="4" t="n">
        <f aca="false">E217*F217</f>
        <v>2108</v>
      </c>
      <c r="H217" s="0" t="str">
        <f aca="false">TEXT(A217,"mmm-yy")</f>
        <v>Mar-26</v>
      </c>
    </row>
    <row r="218" customFormat="false" ht="15" hidden="false" customHeight="false" outlineLevel="0" collapsed="false">
      <c r="A218" s="2" t="n">
        <v>46108</v>
      </c>
      <c r="B218" s="3" t="s">
        <v>25</v>
      </c>
      <c r="C218" s="3" t="s">
        <v>17</v>
      </c>
      <c r="D218" s="3" t="s">
        <v>18</v>
      </c>
      <c r="E218" s="0" t="n">
        <v>4</v>
      </c>
      <c r="F218" s="4" t="n">
        <v>2909</v>
      </c>
      <c r="G218" s="4" t="n">
        <f aca="false">E218*F218</f>
        <v>11636</v>
      </c>
      <c r="H218" s="0" t="str">
        <f aca="false">TEXT(A218,"mmm-yy")</f>
        <v>Mar-26</v>
      </c>
    </row>
    <row r="219" customFormat="false" ht="15" hidden="false" customHeight="false" outlineLevel="0" collapsed="false">
      <c r="A219" s="2" t="n">
        <v>46108</v>
      </c>
      <c r="B219" s="3" t="s">
        <v>26</v>
      </c>
      <c r="C219" s="3" t="s">
        <v>15</v>
      </c>
      <c r="D219" s="3" t="s">
        <v>18</v>
      </c>
      <c r="E219" s="0" t="n">
        <v>2</v>
      </c>
      <c r="F219" s="4" t="n">
        <v>365</v>
      </c>
      <c r="G219" s="4" t="n">
        <f aca="false">E219*F219</f>
        <v>730</v>
      </c>
      <c r="H219" s="0" t="str">
        <f aca="false">TEXT(A219,"mmm-yy")</f>
        <v>Mar-26</v>
      </c>
    </row>
    <row r="220" customFormat="false" ht="15" hidden="false" customHeight="false" outlineLevel="0" collapsed="false">
      <c r="A220" s="2" t="n">
        <v>46109</v>
      </c>
      <c r="B220" s="3" t="s">
        <v>27</v>
      </c>
      <c r="C220" s="3" t="s">
        <v>9</v>
      </c>
      <c r="D220" s="3" t="s">
        <v>23</v>
      </c>
      <c r="E220" s="0" t="n">
        <v>5</v>
      </c>
      <c r="F220" s="4" t="n">
        <v>1500</v>
      </c>
      <c r="G220" s="4" t="n">
        <f aca="false">E220*F220</f>
        <v>7500</v>
      </c>
      <c r="H220" s="0" t="str">
        <f aca="false">TEXT(A220,"mmm-yy")</f>
        <v>Mar-26</v>
      </c>
    </row>
    <row r="221" customFormat="false" ht="15" hidden="false" customHeight="false" outlineLevel="0" collapsed="false">
      <c r="A221" s="2" t="n">
        <v>46110</v>
      </c>
      <c r="B221" s="3" t="s">
        <v>19</v>
      </c>
      <c r="C221" s="3" t="s">
        <v>20</v>
      </c>
      <c r="D221" s="3" t="s">
        <v>13</v>
      </c>
      <c r="E221" s="0" t="n">
        <v>4</v>
      </c>
      <c r="F221" s="4" t="n">
        <v>841</v>
      </c>
      <c r="G221" s="4" t="n">
        <f aca="false">E221*F221</f>
        <v>3364</v>
      </c>
      <c r="H221" s="0" t="str">
        <f aca="false">TEXT(A221,"mmm-yy")</f>
        <v>Mar-26</v>
      </c>
    </row>
    <row r="222" customFormat="false" ht="15" hidden="false" customHeight="false" outlineLevel="0" collapsed="false">
      <c r="A222" s="2" t="n">
        <v>46111</v>
      </c>
      <c r="B222" s="3" t="s">
        <v>28</v>
      </c>
      <c r="C222" s="3" t="s">
        <v>20</v>
      </c>
      <c r="D222" s="3" t="s">
        <v>13</v>
      </c>
      <c r="E222" s="0" t="n">
        <v>2</v>
      </c>
      <c r="F222" s="4" t="n">
        <v>1800</v>
      </c>
      <c r="G222" s="4" t="n">
        <f aca="false">E222*F222</f>
        <v>3600</v>
      </c>
      <c r="H222" s="0" t="str">
        <f aca="false">TEXT(A222,"mmm-yy")</f>
        <v>Mar-26</v>
      </c>
    </row>
    <row r="223" customFormat="false" ht="15" hidden="false" customHeight="false" outlineLevel="0" collapsed="false">
      <c r="A223" s="2" t="n">
        <v>46111</v>
      </c>
      <c r="B223" s="3" t="s">
        <v>19</v>
      </c>
      <c r="C223" s="3" t="s">
        <v>20</v>
      </c>
      <c r="D223" s="3" t="s">
        <v>23</v>
      </c>
      <c r="E223" s="0" t="n">
        <v>3</v>
      </c>
      <c r="F223" s="4" t="n">
        <v>939</v>
      </c>
      <c r="G223" s="4" t="n">
        <f aca="false">E223*F223</f>
        <v>2817</v>
      </c>
      <c r="H223" s="0" t="str">
        <f aca="false">TEXT(A223,"mmm-yy")</f>
        <v>Mar-26</v>
      </c>
    </row>
    <row r="224" customFormat="false" ht="15" hidden="false" customHeight="false" outlineLevel="0" collapsed="false">
      <c r="A224" s="2" t="n">
        <v>46112</v>
      </c>
      <c r="B224" s="3" t="s">
        <v>26</v>
      </c>
      <c r="C224" s="3" t="s">
        <v>15</v>
      </c>
      <c r="D224" s="3" t="s">
        <v>18</v>
      </c>
      <c r="E224" s="0" t="n">
        <v>3</v>
      </c>
      <c r="F224" s="4" t="n">
        <v>326</v>
      </c>
      <c r="G224" s="4" t="n">
        <f aca="false">E224*F224</f>
        <v>978</v>
      </c>
      <c r="H224" s="0" t="str">
        <f aca="false">TEXT(A224,"mmm-yy")</f>
        <v>Mar-26</v>
      </c>
    </row>
    <row r="225" customFormat="false" ht="15" hidden="false" customHeight="false" outlineLevel="0" collapsed="false">
      <c r="A225" s="2" t="n">
        <v>46112</v>
      </c>
      <c r="B225" s="3" t="s">
        <v>25</v>
      </c>
      <c r="C225" s="3" t="s">
        <v>17</v>
      </c>
      <c r="D225" s="3" t="s">
        <v>13</v>
      </c>
      <c r="E225" s="0" t="n">
        <v>4</v>
      </c>
      <c r="F225" s="4" t="n">
        <v>2856</v>
      </c>
      <c r="G225" s="4" t="n">
        <f aca="false">E225*F225</f>
        <v>11424</v>
      </c>
      <c r="H225" s="0" t="str">
        <f aca="false">TEXT(A225,"mmm-yy")</f>
        <v>Mar-26</v>
      </c>
    </row>
    <row r="226" customFormat="false" ht="15" hidden="false" customHeight="false" outlineLevel="0" collapsed="false">
      <c r="A226" s="2" t="n">
        <v>46112</v>
      </c>
      <c r="B226" s="3" t="s">
        <v>14</v>
      </c>
      <c r="C226" s="3" t="s">
        <v>15</v>
      </c>
      <c r="D226" s="3" t="s">
        <v>10</v>
      </c>
      <c r="E226" s="0" t="n">
        <v>3</v>
      </c>
      <c r="F226" s="4" t="n">
        <v>744</v>
      </c>
      <c r="G226" s="4" t="n">
        <f aca="false">E226*F226</f>
        <v>2232</v>
      </c>
      <c r="H226" s="0" t="str">
        <f aca="false">TEXT(A226,"mmm-yy")</f>
        <v>Mar-26</v>
      </c>
    </row>
    <row r="227" customFormat="false" ht="15" hidden="false" customHeight="false" outlineLevel="0" collapsed="false">
      <c r="A227" s="2" t="n">
        <v>46112</v>
      </c>
      <c r="B227" s="3" t="s">
        <v>11</v>
      </c>
      <c r="C227" s="3" t="s">
        <v>12</v>
      </c>
      <c r="D227" s="3" t="s">
        <v>13</v>
      </c>
      <c r="E227" s="0" t="n">
        <v>1</v>
      </c>
      <c r="F227" s="4" t="n">
        <v>606</v>
      </c>
      <c r="G227" s="4" t="n">
        <f aca="false">E227*F227</f>
        <v>606</v>
      </c>
      <c r="H227" s="0" t="str">
        <f aca="false">TEXT(A227,"mmm-yy")</f>
        <v>Mar-26</v>
      </c>
    </row>
    <row r="228" customFormat="false" ht="15" hidden="false" customHeight="false" outlineLevel="0" collapsed="false">
      <c r="A228" s="2" t="n">
        <v>46113</v>
      </c>
      <c r="B228" s="3" t="s">
        <v>27</v>
      </c>
      <c r="C228" s="3" t="s">
        <v>9</v>
      </c>
      <c r="D228" s="3" t="s">
        <v>13</v>
      </c>
      <c r="E228" s="0" t="n">
        <v>1</v>
      </c>
      <c r="F228" s="4" t="n">
        <v>1546</v>
      </c>
      <c r="G228" s="4" t="n">
        <f aca="false">E228*F228</f>
        <v>1546</v>
      </c>
      <c r="H228" s="0" t="str">
        <f aca="false">TEXT(A228,"mmm-yy")</f>
        <v>Apr-26</v>
      </c>
    </row>
    <row r="229" customFormat="false" ht="15" hidden="false" customHeight="false" outlineLevel="0" collapsed="false">
      <c r="A229" s="2" t="n">
        <v>46113</v>
      </c>
      <c r="B229" s="3" t="s">
        <v>25</v>
      </c>
      <c r="C229" s="3" t="s">
        <v>17</v>
      </c>
      <c r="D229" s="3" t="s">
        <v>23</v>
      </c>
      <c r="E229" s="0" t="n">
        <v>3</v>
      </c>
      <c r="F229" s="4" t="n">
        <v>2932</v>
      </c>
      <c r="G229" s="4" t="n">
        <f aca="false">E229*F229</f>
        <v>8796</v>
      </c>
      <c r="H229" s="0" t="str">
        <f aca="false">TEXT(A229,"mmm-yy")</f>
        <v>Apr-26</v>
      </c>
    </row>
    <row r="230" customFormat="false" ht="15" hidden="false" customHeight="false" outlineLevel="0" collapsed="false">
      <c r="A230" s="2" t="n">
        <v>46113</v>
      </c>
      <c r="B230" s="3" t="s">
        <v>25</v>
      </c>
      <c r="C230" s="3" t="s">
        <v>17</v>
      </c>
      <c r="D230" s="3" t="s">
        <v>18</v>
      </c>
      <c r="E230" s="0" t="n">
        <v>2</v>
      </c>
      <c r="F230" s="4" t="n">
        <v>2768</v>
      </c>
      <c r="G230" s="4" t="n">
        <f aca="false">E230*F230</f>
        <v>5536</v>
      </c>
      <c r="H230" s="0" t="str">
        <f aca="false">TEXT(A230,"mmm-yy")</f>
        <v>Apr-26</v>
      </c>
    </row>
    <row r="231" customFormat="false" ht="15" hidden="false" customHeight="false" outlineLevel="0" collapsed="false">
      <c r="A231" s="2" t="n">
        <v>46113</v>
      </c>
      <c r="B231" s="3" t="s">
        <v>14</v>
      </c>
      <c r="C231" s="3" t="s">
        <v>15</v>
      </c>
      <c r="D231" s="3" t="s">
        <v>10</v>
      </c>
      <c r="E231" s="0" t="n">
        <v>2</v>
      </c>
      <c r="F231" s="4" t="n">
        <v>822</v>
      </c>
      <c r="G231" s="4" t="n">
        <f aca="false">E231*F231</f>
        <v>1644</v>
      </c>
      <c r="H231" s="0" t="str">
        <f aca="false">TEXT(A231,"mmm-yy")</f>
        <v>Apr-26</v>
      </c>
    </row>
    <row r="232" customFormat="false" ht="15" hidden="false" customHeight="false" outlineLevel="0" collapsed="false">
      <c r="A232" s="2" t="n">
        <v>46114</v>
      </c>
      <c r="B232" s="3" t="s">
        <v>22</v>
      </c>
      <c r="C232" s="3" t="s">
        <v>9</v>
      </c>
      <c r="D232" s="3" t="s">
        <v>10</v>
      </c>
      <c r="E232" s="0" t="n">
        <v>4</v>
      </c>
      <c r="F232" s="4" t="n">
        <v>3560</v>
      </c>
      <c r="G232" s="4" t="n">
        <f aca="false">E232*F232</f>
        <v>14240</v>
      </c>
      <c r="H232" s="0" t="str">
        <f aca="false">TEXT(A232,"mmm-yy")</f>
        <v>Apr-26</v>
      </c>
    </row>
    <row r="233" customFormat="false" ht="15" hidden="false" customHeight="false" outlineLevel="0" collapsed="false">
      <c r="A233" s="2" t="n">
        <v>46114</v>
      </c>
      <c r="B233" s="3" t="s">
        <v>19</v>
      </c>
      <c r="C233" s="3" t="s">
        <v>20</v>
      </c>
      <c r="D233" s="3" t="s">
        <v>10</v>
      </c>
      <c r="E233" s="0" t="n">
        <v>2</v>
      </c>
      <c r="F233" s="4" t="n">
        <v>958</v>
      </c>
      <c r="G233" s="4" t="n">
        <f aca="false">E233*F233</f>
        <v>1916</v>
      </c>
      <c r="H233" s="0" t="str">
        <f aca="false">TEXT(A233,"mmm-yy")</f>
        <v>Apr-26</v>
      </c>
    </row>
    <row r="234" customFormat="false" ht="15" hidden="false" customHeight="false" outlineLevel="0" collapsed="false">
      <c r="A234" s="2" t="n">
        <v>46115</v>
      </c>
      <c r="B234" s="3" t="s">
        <v>26</v>
      </c>
      <c r="C234" s="3" t="s">
        <v>15</v>
      </c>
      <c r="D234" s="3" t="s">
        <v>13</v>
      </c>
      <c r="E234" s="0" t="n">
        <v>3</v>
      </c>
      <c r="F234" s="4" t="n">
        <v>335</v>
      </c>
      <c r="G234" s="4" t="n">
        <f aca="false">E234*F234</f>
        <v>1005</v>
      </c>
      <c r="H234" s="0" t="str">
        <f aca="false">TEXT(A234,"mmm-yy")</f>
        <v>Apr-26</v>
      </c>
    </row>
    <row r="235" customFormat="false" ht="15" hidden="false" customHeight="false" outlineLevel="0" collapsed="false">
      <c r="A235" s="2" t="n">
        <v>46115</v>
      </c>
      <c r="B235" s="3" t="s">
        <v>21</v>
      </c>
      <c r="C235" s="3" t="s">
        <v>12</v>
      </c>
      <c r="D235" s="3" t="s">
        <v>10</v>
      </c>
      <c r="E235" s="0" t="n">
        <v>3</v>
      </c>
      <c r="F235" s="4" t="n">
        <v>397</v>
      </c>
      <c r="G235" s="4" t="n">
        <f aca="false">E235*F235</f>
        <v>1191</v>
      </c>
      <c r="H235" s="0" t="str">
        <f aca="false">TEXT(A235,"mmm-yy")</f>
        <v>Apr-26</v>
      </c>
    </row>
    <row r="236" customFormat="false" ht="15" hidden="false" customHeight="false" outlineLevel="0" collapsed="false">
      <c r="A236" s="2" t="n">
        <v>46115</v>
      </c>
      <c r="B236" s="3" t="s">
        <v>22</v>
      </c>
      <c r="C236" s="3" t="s">
        <v>9</v>
      </c>
      <c r="D236" s="3" t="s">
        <v>23</v>
      </c>
      <c r="E236" s="0" t="n">
        <v>3</v>
      </c>
      <c r="F236" s="4" t="n">
        <v>3466</v>
      </c>
      <c r="G236" s="4" t="n">
        <f aca="false">E236*F236</f>
        <v>10398</v>
      </c>
      <c r="H236" s="0" t="str">
        <f aca="false">TEXT(A236,"mmm-yy")</f>
        <v>Apr-26</v>
      </c>
    </row>
    <row r="237" customFormat="false" ht="15" hidden="false" customHeight="false" outlineLevel="0" collapsed="false">
      <c r="A237" s="2" t="n">
        <v>46115</v>
      </c>
      <c r="B237" s="3" t="s">
        <v>26</v>
      </c>
      <c r="C237" s="3" t="s">
        <v>15</v>
      </c>
      <c r="D237" s="3" t="s">
        <v>18</v>
      </c>
      <c r="E237" s="0" t="n">
        <v>3</v>
      </c>
      <c r="F237" s="4" t="n">
        <v>375</v>
      </c>
      <c r="G237" s="4" t="n">
        <f aca="false">E237*F237</f>
        <v>1125</v>
      </c>
      <c r="H237" s="0" t="str">
        <f aca="false">TEXT(A237,"mmm-yy")</f>
        <v>Apr-26</v>
      </c>
    </row>
    <row r="238" customFormat="false" ht="15" hidden="false" customHeight="false" outlineLevel="0" collapsed="false">
      <c r="A238" s="2" t="n">
        <v>46116</v>
      </c>
      <c r="B238" s="3" t="s">
        <v>16</v>
      </c>
      <c r="C238" s="3" t="s">
        <v>17</v>
      </c>
      <c r="D238" s="3" t="s">
        <v>13</v>
      </c>
      <c r="E238" s="0" t="n">
        <v>4</v>
      </c>
      <c r="F238" s="4" t="n">
        <v>539</v>
      </c>
      <c r="G238" s="4" t="n">
        <f aca="false">E238*F238</f>
        <v>2156</v>
      </c>
      <c r="H238" s="0" t="str">
        <f aca="false">TEXT(A238,"mmm-yy")</f>
        <v>Apr-26</v>
      </c>
    </row>
    <row r="239" customFormat="false" ht="15" hidden="false" customHeight="false" outlineLevel="0" collapsed="false">
      <c r="A239" s="2" t="n">
        <v>46116</v>
      </c>
      <c r="B239" s="3" t="s">
        <v>16</v>
      </c>
      <c r="C239" s="3" t="s">
        <v>17</v>
      </c>
      <c r="D239" s="3" t="s">
        <v>23</v>
      </c>
      <c r="E239" s="0" t="n">
        <v>3</v>
      </c>
      <c r="F239" s="4" t="n">
        <v>490</v>
      </c>
      <c r="G239" s="4" t="n">
        <f aca="false">E239*F239</f>
        <v>1470</v>
      </c>
      <c r="H239" s="0" t="str">
        <f aca="false">TEXT(A239,"mmm-yy")</f>
        <v>Apr-26</v>
      </c>
    </row>
    <row r="240" customFormat="false" ht="15" hidden="false" customHeight="false" outlineLevel="0" collapsed="false">
      <c r="A240" s="2" t="n">
        <v>46116</v>
      </c>
      <c r="B240" s="3" t="s">
        <v>11</v>
      </c>
      <c r="C240" s="3" t="s">
        <v>12</v>
      </c>
      <c r="D240" s="3" t="s">
        <v>23</v>
      </c>
      <c r="E240" s="0" t="n">
        <v>4</v>
      </c>
      <c r="F240" s="4" t="n">
        <v>628</v>
      </c>
      <c r="G240" s="4" t="n">
        <f aca="false">E240*F240</f>
        <v>2512</v>
      </c>
      <c r="H240" s="0" t="str">
        <f aca="false">TEXT(A240,"mmm-yy")</f>
        <v>Apr-26</v>
      </c>
    </row>
    <row r="241" customFormat="false" ht="15" hidden="false" customHeight="false" outlineLevel="0" collapsed="false">
      <c r="A241" s="2" t="n">
        <v>46117</v>
      </c>
      <c r="B241" s="3" t="s">
        <v>14</v>
      </c>
      <c r="C241" s="3" t="s">
        <v>15</v>
      </c>
      <c r="D241" s="3" t="s">
        <v>18</v>
      </c>
      <c r="E241" s="0" t="n">
        <v>1</v>
      </c>
      <c r="F241" s="4" t="n">
        <v>846</v>
      </c>
      <c r="G241" s="4" t="n">
        <f aca="false">E241*F241</f>
        <v>846</v>
      </c>
      <c r="H241" s="0" t="str">
        <f aca="false">TEXT(A241,"mmm-yy")</f>
        <v>Apr-26</v>
      </c>
    </row>
    <row r="242" customFormat="false" ht="15" hidden="false" customHeight="false" outlineLevel="0" collapsed="false">
      <c r="A242" s="2" t="n">
        <v>46118</v>
      </c>
      <c r="B242" s="3" t="s">
        <v>21</v>
      </c>
      <c r="C242" s="3" t="s">
        <v>12</v>
      </c>
      <c r="D242" s="3" t="s">
        <v>23</v>
      </c>
      <c r="E242" s="0" t="n">
        <v>5</v>
      </c>
      <c r="F242" s="4" t="n">
        <v>418</v>
      </c>
      <c r="G242" s="4" t="n">
        <f aca="false">E242*F242</f>
        <v>2090</v>
      </c>
      <c r="H242" s="0" t="str">
        <f aca="false">TEXT(A242,"mmm-yy")</f>
        <v>Apr-26</v>
      </c>
    </row>
    <row r="243" customFormat="false" ht="15" hidden="false" customHeight="false" outlineLevel="0" collapsed="false">
      <c r="A243" s="2" t="n">
        <v>46118</v>
      </c>
      <c r="B243" s="3" t="s">
        <v>16</v>
      </c>
      <c r="C243" s="3" t="s">
        <v>17</v>
      </c>
      <c r="D243" s="3" t="s">
        <v>23</v>
      </c>
      <c r="E243" s="0" t="n">
        <v>5</v>
      </c>
      <c r="F243" s="4" t="n">
        <v>510</v>
      </c>
      <c r="G243" s="4" t="n">
        <f aca="false">E243*F243</f>
        <v>2550</v>
      </c>
      <c r="H243" s="0" t="str">
        <f aca="false">TEXT(A243,"mmm-yy")</f>
        <v>Apr-26</v>
      </c>
    </row>
    <row r="244" customFormat="false" ht="15" hidden="false" customHeight="false" outlineLevel="0" collapsed="false">
      <c r="A244" s="2" t="n">
        <v>46118</v>
      </c>
      <c r="B244" s="3" t="s">
        <v>26</v>
      </c>
      <c r="C244" s="3" t="s">
        <v>15</v>
      </c>
      <c r="D244" s="3" t="s">
        <v>13</v>
      </c>
      <c r="E244" s="0" t="n">
        <v>2</v>
      </c>
      <c r="F244" s="4" t="n">
        <v>363</v>
      </c>
      <c r="G244" s="4" t="n">
        <f aca="false">E244*F244</f>
        <v>726</v>
      </c>
      <c r="H244" s="0" t="str">
        <f aca="false">TEXT(A244,"mmm-yy")</f>
        <v>Apr-26</v>
      </c>
    </row>
    <row r="245" customFormat="false" ht="15" hidden="false" customHeight="false" outlineLevel="0" collapsed="false">
      <c r="A245" s="2" t="n">
        <v>46119</v>
      </c>
      <c r="B245" s="3" t="s">
        <v>29</v>
      </c>
      <c r="C245" s="3" t="s">
        <v>17</v>
      </c>
      <c r="D245" s="3" t="s">
        <v>23</v>
      </c>
      <c r="E245" s="0" t="n">
        <v>1</v>
      </c>
      <c r="F245" s="4" t="n">
        <v>2405</v>
      </c>
      <c r="G245" s="4" t="n">
        <f aca="false">E245*F245</f>
        <v>2405</v>
      </c>
      <c r="H245" s="0" t="str">
        <f aca="false">TEXT(A245,"mmm-yy")</f>
        <v>Apr-26</v>
      </c>
    </row>
    <row r="246" customFormat="false" ht="15" hidden="false" customHeight="false" outlineLevel="0" collapsed="false">
      <c r="A246" s="2" t="n">
        <v>46120</v>
      </c>
      <c r="B246" s="3" t="s">
        <v>22</v>
      </c>
      <c r="C246" s="3" t="s">
        <v>9</v>
      </c>
      <c r="D246" s="3" t="s">
        <v>18</v>
      </c>
      <c r="E246" s="0" t="n">
        <v>3</v>
      </c>
      <c r="F246" s="4" t="n">
        <v>3728</v>
      </c>
      <c r="G246" s="4" t="n">
        <f aca="false">E246*F246</f>
        <v>11184</v>
      </c>
      <c r="H246" s="0" t="str">
        <f aca="false">TEXT(A246,"mmm-yy")</f>
        <v>Apr-26</v>
      </c>
    </row>
    <row r="247" customFormat="false" ht="15" hidden="false" customHeight="false" outlineLevel="0" collapsed="false">
      <c r="A247" s="2" t="n">
        <v>46120</v>
      </c>
      <c r="B247" s="3" t="s">
        <v>27</v>
      </c>
      <c r="C247" s="3" t="s">
        <v>9</v>
      </c>
      <c r="D247" s="3" t="s">
        <v>23</v>
      </c>
      <c r="E247" s="0" t="n">
        <v>5</v>
      </c>
      <c r="F247" s="4" t="n">
        <v>1427</v>
      </c>
      <c r="G247" s="4" t="n">
        <f aca="false">E247*F247</f>
        <v>7135</v>
      </c>
      <c r="H247" s="0" t="str">
        <f aca="false">TEXT(A247,"mmm-yy")</f>
        <v>Apr-26</v>
      </c>
    </row>
    <row r="248" customFormat="false" ht="15" hidden="false" customHeight="false" outlineLevel="0" collapsed="false">
      <c r="A248" s="2" t="n">
        <v>46121</v>
      </c>
      <c r="B248" s="3" t="s">
        <v>27</v>
      </c>
      <c r="C248" s="3" t="s">
        <v>9</v>
      </c>
      <c r="D248" s="3" t="s">
        <v>23</v>
      </c>
      <c r="E248" s="0" t="n">
        <v>4</v>
      </c>
      <c r="F248" s="4" t="n">
        <v>1441</v>
      </c>
      <c r="G248" s="4" t="n">
        <f aca="false">E248*F248</f>
        <v>5764</v>
      </c>
      <c r="H248" s="0" t="str">
        <f aca="false">TEXT(A248,"mmm-yy")</f>
        <v>Apr-26</v>
      </c>
    </row>
    <row r="249" customFormat="false" ht="15" hidden="false" customHeight="false" outlineLevel="0" collapsed="false">
      <c r="A249" s="2" t="n">
        <v>46121</v>
      </c>
      <c r="B249" s="3" t="s">
        <v>11</v>
      </c>
      <c r="C249" s="3" t="s">
        <v>12</v>
      </c>
      <c r="D249" s="3" t="s">
        <v>18</v>
      </c>
      <c r="E249" s="0" t="n">
        <v>1</v>
      </c>
      <c r="F249" s="4" t="n">
        <v>687</v>
      </c>
      <c r="G249" s="4" t="n">
        <f aca="false">E249*F249</f>
        <v>687</v>
      </c>
      <c r="H249" s="0" t="str">
        <f aca="false">TEXT(A249,"mmm-yy")</f>
        <v>Apr-26</v>
      </c>
    </row>
    <row r="250" customFormat="false" ht="15" hidden="false" customHeight="false" outlineLevel="0" collapsed="false">
      <c r="A250" s="2" t="n">
        <v>46121</v>
      </c>
      <c r="B250" s="3" t="s">
        <v>22</v>
      </c>
      <c r="C250" s="3" t="s">
        <v>9</v>
      </c>
      <c r="D250" s="3" t="s">
        <v>18</v>
      </c>
      <c r="E250" s="0" t="n">
        <v>2</v>
      </c>
      <c r="F250" s="4" t="n">
        <v>3298</v>
      </c>
      <c r="G250" s="4" t="n">
        <f aca="false">E250*F250</f>
        <v>6596</v>
      </c>
      <c r="H250" s="0" t="str">
        <f aca="false">TEXT(A250,"mmm-yy")</f>
        <v>Apr-26</v>
      </c>
    </row>
    <row r="251" customFormat="false" ht="15" hidden="false" customHeight="false" outlineLevel="0" collapsed="false">
      <c r="A251" s="2" t="n">
        <v>46122</v>
      </c>
      <c r="B251" s="3" t="s">
        <v>22</v>
      </c>
      <c r="C251" s="3" t="s">
        <v>9</v>
      </c>
      <c r="D251" s="3" t="s">
        <v>23</v>
      </c>
      <c r="E251" s="0" t="n">
        <v>1</v>
      </c>
      <c r="F251" s="4" t="n">
        <v>3662</v>
      </c>
      <c r="G251" s="4" t="n">
        <f aca="false">E251*F251</f>
        <v>3662</v>
      </c>
      <c r="H251" s="0" t="str">
        <f aca="false">TEXT(A251,"mmm-yy")</f>
        <v>Apr-26</v>
      </c>
    </row>
    <row r="252" customFormat="false" ht="15" hidden="false" customHeight="false" outlineLevel="0" collapsed="false">
      <c r="A252" s="2" t="n">
        <v>46122</v>
      </c>
      <c r="B252" s="3" t="s">
        <v>24</v>
      </c>
      <c r="C252" s="3" t="s">
        <v>20</v>
      </c>
      <c r="D252" s="3" t="s">
        <v>23</v>
      </c>
      <c r="E252" s="0" t="n">
        <v>3</v>
      </c>
      <c r="F252" s="4" t="n">
        <v>563</v>
      </c>
      <c r="G252" s="4" t="n">
        <f aca="false">E252*F252</f>
        <v>1689</v>
      </c>
      <c r="H252" s="0" t="str">
        <f aca="false">TEXT(A252,"mmm-yy")</f>
        <v>Apr-26</v>
      </c>
    </row>
    <row r="253" customFormat="false" ht="15" hidden="false" customHeight="false" outlineLevel="0" collapsed="false">
      <c r="A253" s="2" t="n">
        <v>46122</v>
      </c>
      <c r="B253" s="3" t="s">
        <v>14</v>
      </c>
      <c r="C253" s="3" t="s">
        <v>15</v>
      </c>
      <c r="D253" s="3" t="s">
        <v>13</v>
      </c>
      <c r="E253" s="0" t="n">
        <v>3</v>
      </c>
      <c r="F253" s="4" t="n">
        <v>784</v>
      </c>
      <c r="G253" s="4" t="n">
        <f aca="false">E253*F253</f>
        <v>2352</v>
      </c>
      <c r="H253" s="0" t="str">
        <f aca="false">TEXT(A253,"mmm-yy")</f>
        <v>Apr-26</v>
      </c>
    </row>
    <row r="254" customFormat="false" ht="15" hidden="false" customHeight="false" outlineLevel="0" collapsed="false">
      <c r="A254" s="2" t="n">
        <v>46123</v>
      </c>
      <c r="B254" s="3" t="s">
        <v>19</v>
      </c>
      <c r="C254" s="3" t="s">
        <v>20</v>
      </c>
      <c r="D254" s="3" t="s">
        <v>23</v>
      </c>
      <c r="E254" s="0" t="n">
        <v>5</v>
      </c>
      <c r="F254" s="4" t="n">
        <v>831</v>
      </c>
      <c r="G254" s="4" t="n">
        <f aca="false">E254*F254</f>
        <v>4155</v>
      </c>
      <c r="H254" s="0" t="str">
        <f aca="false">TEXT(A254,"mmm-yy")</f>
        <v>Apr-26</v>
      </c>
    </row>
    <row r="255" customFormat="false" ht="15" hidden="false" customHeight="false" outlineLevel="0" collapsed="false">
      <c r="A255" s="2" t="n">
        <v>46123</v>
      </c>
      <c r="B255" s="3" t="s">
        <v>14</v>
      </c>
      <c r="C255" s="3" t="s">
        <v>15</v>
      </c>
      <c r="D255" s="3" t="s">
        <v>18</v>
      </c>
      <c r="E255" s="0" t="n">
        <v>1</v>
      </c>
      <c r="F255" s="4" t="n">
        <v>763</v>
      </c>
      <c r="G255" s="4" t="n">
        <f aca="false">E255*F255</f>
        <v>763</v>
      </c>
      <c r="H255" s="0" t="str">
        <f aca="false">TEXT(A255,"mmm-yy")</f>
        <v>Apr-26</v>
      </c>
    </row>
    <row r="256" customFormat="false" ht="15" hidden="false" customHeight="false" outlineLevel="0" collapsed="false">
      <c r="A256" s="2" t="n">
        <v>46124</v>
      </c>
      <c r="B256" s="3" t="s">
        <v>26</v>
      </c>
      <c r="C256" s="3" t="s">
        <v>15</v>
      </c>
      <c r="D256" s="3" t="s">
        <v>13</v>
      </c>
      <c r="E256" s="0" t="n">
        <v>2</v>
      </c>
      <c r="F256" s="4" t="n">
        <v>344</v>
      </c>
      <c r="G256" s="4" t="n">
        <f aca="false">E256*F256</f>
        <v>688</v>
      </c>
      <c r="H256" s="0" t="str">
        <f aca="false">TEXT(A256,"mmm-yy")</f>
        <v>Apr-26</v>
      </c>
    </row>
    <row r="257" customFormat="false" ht="15" hidden="false" customHeight="false" outlineLevel="0" collapsed="false">
      <c r="A257" s="2" t="n">
        <v>46124</v>
      </c>
      <c r="B257" s="3" t="s">
        <v>8</v>
      </c>
      <c r="C257" s="3" t="s">
        <v>9</v>
      </c>
      <c r="D257" s="3" t="s">
        <v>13</v>
      </c>
      <c r="E257" s="0" t="n">
        <v>4</v>
      </c>
      <c r="F257" s="4" t="n">
        <v>1840</v>
      </c>
      <c r="G257" s="4" t="n">
        <f aca="false">E257*F257</f>
        <v>7360</v>
      </c>
      <c r="H257" s="0" t="str">
        <f aca="false">TEXT(A257,"mmm-yy")</f>
        <v>Apr-26</v>
      </c>
    </row>
    <row r="258" customFormat="false" ht="15" hidden="false" customHeight="false" outlineLevel="0" collapsed="false">
      <c r="A258" s="2" t="n">
        <v>46124</v>
      </c>
      <c r="B258" s="3" t="s">
        <v>22</v>
      </c>
      <c r="C258" s="3" t="s">
        <v>9</v>
      </c>
      <c r="D258" s="3" t="s">
        <v>10</v>
      </c>
      <c r="E258" s="0" t="n">
        <v>5</v>
      </c>
      <c r="F258" s="4" t="n">
        <v>3351</v>
      </c>
      <c r="G258" s="4" t="n">
        <f aca="false">E258*F258</f>
        <v>16755</v>
      </c>
      <c r="H258" s="0" t="str">
        <f aca="false">TEXT(A258,"mmm-yy")</f>
        <v>Apr-26</v>
      </c>
    </row>
    <row r="259" customFormat="false" ht="15" hidden="false" customHeight="false" outlineLevel="0" collapsed="false">
      <c r="A259" s="2" t="n">
        <v>46125</v>
      </c>
      <c r="B259" s="3" t="s">
        <v>19</v>
      </c>
      <c r="C259" s="3" t="s">
        <v>20</v>
      </c>
      <c r="D259" s="3" t="s">
        <v>18</v>
      </c>
      <c r="E259" s="0" t="n">
        <v>5</v>
      </c>
      <c r="F259" s="4" t="n">
        <v>880</v>
      </c>
      <c r="G259" s="4" t="n">
        <f aca="false">E259*F259</f>
        <v>4400</v>
      </c>
      <c r="H259" s="0" t="str">
        <f aca="false">TEXT(A259,"mmm-yy")</f>
        <v>Apr-26</v>
      </c>
    </row>
    <row r="260" customFormat="false" ht="15" hidden="false" customHeight="false" outlineLevel="0" collapsed="false">
      <c r="A260" s="2" t="n">
        <v>46125</v>
      </c>
      <c r="B260" s="3" t="s">
        <v>14</v>
      </c>
      <c r="C260" s="3" t="s">
        <v>15</v>
      </c>
      <c r="D260" s="3" t="s">
        <v>18</v>
      </c>
      <c r="E260" s="0" t="n">
        <v>2</v>
      </c>
      <c r="F260" s="4" t="n">
        <v>830</v>
      </c>
      <c r="G260" s="4" t="n">
        <f aca="false">E260*F260</f>
        <v>1660</v>
      </c>
      <c r="H260" s="0" t="str">
        <f aca="false">TEXT(A260,"mmm-yy")</f>
        <v>Apr-26</v>
      </c>
    </row>
    <row r="261" customFormat="false" ht="15" hidden="false" customHeight="false" outlineLevel="0" collapsed="false">
      <c r="A261" s="2" t="n">
        <v>46125</v>
      </c>
      <c r="B261" s="3" t="s">
        <v>26</v>
      </c>
      <c r="C261" s="3" t="s">
        <v>15</v>
      </c>
      <c r="D261" s="3" t="s">
        <v>18</v>
      </c>
      <c r="E261" s="0" t="n">
        <v>4</v>
      </c>
      <c r="F261" s="4" t="n">
        <v>327</v>
      </c>
      <c r="G261" s="4" t="n">
        <f aca="false">E261*F261</f>
        <v>1308</v>
      </c>
      <c r="H261" s="0" t="str">
        <f aca="false">TEXT(A261,"mmm-yy")</f>
        <v>Apr-26</v>
      </c>
    </row>
    <row r="262" customFormat="false" ht="15" hidden="false" customHeight="false" outlineLevel="0" collapsed="false">
      <c r="A262" s="2" t="n">
        <v>46125</v>
      </c>
      <c r="B262" s="3" t="s">
        <v>29</v>
      </c>
      <c r="C262" s="3" t="s">
        <v>17</v>
      </c>
      <c r="D262" s="3" t="s">
        <v>10</v>
      </c>
      <c r="E262" s="0" t="n">
        <v>3</v>
      </c>
      <c r="F262" s="4" t="n">
        <v>2127</v>
      </c>
      <c r="G262" s="4" t="n">
        <f aca="false">E262*F262</f>
        <v>6381</v>
      </c>
      <c r="H262" s="0" t="str">
        <f aca="false">TEXT(A262,"mmm-yy")</f>
        <v>Apr-26</v>
      </c>
    </row>
    <row r="263" customFormat="false" ht="15" hidden="false" customHeight="false" outlineLevel="0" collapsed="false">
      <c r="A263" s="2" t="n">
        <v>46126</v>
      </c>
      <c r="B263" s="3" t="s">
        <v>19</v>
      </c>
      <c r="C263" s="3" t="s">
        <v>20</v>
      </c>
      <c r="D263" s="3" t="s">
        <v>13</v>
      </c>
      <c r="E263" s="0" t="n">
        <v>3</v>
      </c>
      <c r="F263" s="4" t="n">
        <v>964</v>
      </c>
      <c r="G263" s="4" t="n">
        <f aca="false">E263*F263</f>
        <v>2892</v>
      </c>
      <c r="H263" s="0" t="str">
        <f aca="false">TEXT(A263,"mmm-yy")</f>
        <v>Apr-26</v>
      </c>
    </row>
    <row r="264" customFormat="false" ht="15" hidden="false" customHeight="false" outlineLevel="0" collapsed="false">
      <c r="A264" s="2" t="n">
        <v>46126</v>
      </c>
      <c r="B264" s="3" t="s">
        <v>26</v>
      </c>
      <c r="C264" s="3" t="s">
        <v>15</v>
      </c>
      <c r="D264" s="3" t="s">
        <v>13</v>
      </c>
      <c r="E264" s="0" t="n">
        <v>3</v>
      </c>
      <c r="F264" s="4" t="n">
        <v>342</v>
      </c>
      <c r="G264" s="4" t="n">
        <f aca="false">E264*F264</f>
        <v>1026</v>
      </c>
      <c r="H264" s="0" t="str">
        <f aca="false">TEXT(A264,"mmm-yy")</f>
        <v>Apr-26</v>
      </c>
    </row>
    <row r="265" customFormat="false" ht="15" hidden="false" customHeight="false" outlineLevel="0" collapsed="false">
      <c r="A265" s="2" t="n">
        <v>46126</v>
      </c>
      <c r="B265" s="3" t="s">
        <v>28</v>
      </c>
      <c r="C265" s="3" t="s">
        <v>20</v>
      </c>
      <c r="D265" s="3" t="s">
        <v>18</v>
      </c>
      <c r="E265" s="0" t="n">
        <v>1</v>
      </c>
      <c r="F265" s="4" t="n">
        <v>1638</v>
      </c>
      <c r="G265" s="4" t="n">
        <f aca="false">E265*F265</f>
        <v>1638</v>
      </c>
      <c r="H265" s="0" t="str">
        <f aca="false">TEXT(A265,"mmm-yy")</f>
        <v>Apr-26</v>
      </c>
    </row>
    <row r="266" customFormat="false" ht="15" hidden="false" customHeight="false" outlineLevel="0" collapsed="false">
      <c r="A266" s="2" t="n">
        <v>46126</v>
      </c>
      <c r="B266" s="3" t="s">
        <v>22</v>
      </c>
      <c r="C266" s="3" t="s">
        <v>9</v>
      </c>
      <c r="D266" s="3" t="s">
        <v>13</v>
      </c>
      <c r="E266" s="0" t="n">
        <v>5</v>
      </c>
      <c r="F266" s="4" t="n">
        <v>3590</v>
      </c>
      <c r="G266" s="4" t="n">
        <f aca="false">E266*F266</f>
        <v>17950</v>
      </c>
      <c r="H266" s="0" t="str">
        <f aca="false">TEXT(A266,"mmm-yy")</f>
        <v>Apr-26</v>
      </c>
    </row>
    <row r="267" customFormat="false" ht="15" hidden="false" customHeight="false" outlineLevel="0" collapsed="false">
      <c r="A267" s="2" t="n">
        <v>46127</v>
      </c>
      <c r="B267" s="3" t="s">
        <v>21</v>
      </c>
      <c r="C267" s="3" t="s">
        <v>12</v>
      </c>
      <c r="D267" s="3" t="s">
        <v>10</v>
      </c>
      <c r="E267" s="0" t="n">
        <v>2</v>
      </c>
      <c r="F267" s="4" t="n">
        <v>388</v>
      </c>
      <c r="G267" s="4" t="n">
        <f aca="false">E267*F267</f>
        <v>776</v>
      </c>
      <c r="H267" s="0" t="str">
        <f aca="false">TEXT(A267,"mmm-yy")</f>
        <v>Apr-26</v>
      </c>
    </row>
    <row r="268" customFormat="false" ht="15" hidden="false" customHeight="false" outlineLevel="0" collapsed="false">
      <c r="A268" s="2" t="n">
        <v>46128</v>
      </c>
      <c r="B268" s="3" t="s">
        <v>21</v>
      </c>
      <c r="C268" s="3" t="s">
        <v>12</v>
      </c>
      <c r="D268" s="3" t="s">
        <v>10</v>
      </c>
      <c r="E268" s="0" t="n">
        <v>5</v>
      </c>
      <c r="F268" s="4" t="n">
        <v>402</v>
      </c>
      <c r="G268" s="4" t="n">
        <f aca="false">E268*F268</f>
        <v>2010</v>
      </c>
      <c r="H268" s="0" t="str">
        <f aca="false">TEXT(A268,"mmm-yy")</f>
        <v>Apr-26</v>
      </c>
    </row>
    <row r="269" customFormat="false" ht="15" hidden="false" customHeight="false" outlineLevel="0" collapsed="false">
      <c r="A269" s="2" t="n">
        <v>46129</v>
      </c>
      <c r="B269" s="3" t="s">
        <v>25</v>
      </c>
      <c r="C269" s="3" t="s">
        <v>17</v>
      </c>
      <c r="D269" s="3" t="s">
        <v>13</v>
      </c>
      <c r="E269" s="0" t="n">
        <v>5</v>
      </c>
      <c r="F269" s="4" t="n">
        <v>2922</v>
      </c>
      <c r="G269" s="4" t="n">
        <f aca="false">E269*F269</f>
        <v>14610</v>
      </c>
      <c r="H269" s="0" t="str">
        <f aca="false">TEXT(A269,"mmm-yy")</f>
        <v>Apr-26</v>
      </c>
    </row>
    <row r="270" customFormat="false" ht="15" hidden="false" customHeight="false" outlineLevel="0" collapsed="false">
      <c r="A270" s="2" t="n">
        <v>46129</v>
      </c>
      <c r="B270" s="3" t="s">
        <v>29</v>
      </c>
      <c r="C270" s="3" t="s">
        <v>17</v>
      </c>
      <c r="D270" s="3" t="s">
        <v>10</v>
      </c>
      <c r="E270" s="0" t="n">
        <v>2</v>
      </c>
      <c r="F270" s="4" t="n">
        <v>2431</v>
      </c>
      <c r="G270" s="4" t="n">
        <f aca="false">E270*F270</f>
        <v>4862</v>
      </c>
      <c r="H270" s="0" t="str">
        <f aca="false">TEXT(A270,"mmm-yy")</f>
        <v>Apr-26</v>
      </c>
    </row>
    <row r="271" customFormat="false" ht="15" hidden="false" customHeight="false" outlineLevel="0" collapsed="false">
      <c r="A271" s="2" t="n">
        <v>46130</v>
      </c>
      <c r="B271" s="3" t="s">
        <v>21</v>
      </c>
      <c r="C271" s="3" t="s">
        <v>12</v>
      </c>
      <c r="D271" s="3" t="s">
        <v>10</v>
      </c>
      <c r="E271" s="0" t="n">
        <v>1</v>
      </c>
      <c r="F271" s="4" t="n">
        <v>378</v>
      </c>
      <c r="G271" s="4" t="n">
        <f aca="false">E271*F271</f>
        <v>378</v>
      </c>
      <c r="H271" s="0" t="str">
        <f aca="false">TEXT(A271,"mmm-yy")</f>
        <v>Apr-26</v>
      </c>
    </row>
    <row r="272" customFormat="false" ht="15" hidden="false" customHeight="false" outlineLevel="0" collapsed="false">
      <c r="A272" s="2" t="n">
        <v>46130</v>
      </c>
      <c r="B272" s="3" t="s">
        <v>8</v>
      </c>
      <c r="C272" s="3" t="s">
        <v>9</v>
      </c>
      <c r="D272" s="3" t="s">
        <v>23</v>
      </c>
      <c r="E272" s="0" t="n">
        <v>2</v>
      </c>
      <c r="F272" s="4" t="n">
        <v>1856</v>
      </c>
      <c r="G272" s="4" t="n">
        <f aca="false">E272*F272</f>
        <v>3712</v>
      </c>
      <c r="H272" s="0" t="str">
        <f aca="false">TEXT(A272,"mmm-yy")</f>
        <v>Apr-26</v>
      </c>
    </row>
    <row r="273" customFormat="false" ht="15" hidden="false" customHeight="false" outlineLevel="0" collapsed="false">
      <c r="A273" s="2" t="n">
        <v>46130</v>
      </c>
      <c r="B273" s="3" t="s">
        <v>8</v>
      </c>
      <c r="C273" s="3" t="s">
        <v>9</v>
      </c>
      <c r="D273" s="3" t="s">
        <v>10</v>
      </c>
      <c r="E273" s="0" t="n">
        <v>1</v>
      </c>
      <c r="F273" s="4" t="n">
        <v>1800</v>
      </c>
      <c r="G273" s="4" t="n">
        <f aca="false">E273*F273</f>
        <v>1800</v>
      </c>
      <c r="H273" s="0" t="str">
        <f aca="false">TEXT(A273,"mmm-yy")</f>
        <v>Apr-26</v>
      </c>
    </row>
    <row r="274" customFormat="false" ht="15" hidden="false" customHeight="false" outlineLevel="0" collapsed="false">
      <c r="A274" s="2" t="n">
        <v>46131</v>
      </c>
      <c r="B274" s="3" t="s">
        <v>24</v>
      </c>
      <c r="C274" s="3" t="s">
        <v>20</v>
      </c>
      <c r="D274" s="3" t="s">
        <v>18</v>
      </c>
      <c r="E274" s="0" t="n">
        <v>1</v>
      </c>
      <c r="F274" s="4" t="n">
        <v>562</v>
      </c>
      <c r="G274" s="4" t="n">
        <f aca="false">E274*F274</f>
        <v>562</v>
      </c>
      <c r="H274" s="0" t="str">
        <f aca="false">TEXT(A274,"mmm-yy")</f>
        <v>Apr-26</v>
      </c>
    </row>
    <row r="275" customFormat="false" ht="15" hidden="false" customHeight="false" outlineLevel="0" collapsed="false">
      <c r="A275" s="2" t="n">
        <v>46131</v>
      </c>
      <c r="B275" s="3" t="s">
        <v>19</v>
      </c>
      <c r="C275" s="3" t="s">
        <v>20</v>
      </c>
      <c r="D275" s="3" t="s">
        <v>13</v>
      </c>
      <c r="E275" s="0" t="n">
        <v>5</v>
      </c>
      <c r="F275" s="4" t="n">
        <v>939</v>
      </c>
      <c r="G275" s="4" t="n">
        <f aca="false">E275*F275</f>
        <v>4695</v>
      </c>
      <c r="H275" s="0" t="str">
        <f aca="false">TEXT(A275,"mmm-yy")</f>
        <v>Apr-26</v>
      </c>
    </row>
    <row r="276" customFormat="false" ht="15" hidden="false" customHeight="false" outlineLevel="0" collapsed="false">
      <c r="A276" s="2" t="n">
        <v>46131</v>
      </c>
      <c r="B276" s="3" t="s">
        <v>19</v>
      </c>
      <c r="C276" s="3" t="s">
        <v>20</v>
      </c>
      <c r="D276" s="3" t="s">
        <v>13</v>
      </c>
      <c r="E276" s="0" t="n">
        <v>5</v>
      </c>
      <c r="F276" s="4" t="n">
        <v>900</v>
      </c>
      <c r="G276" s="4" t="n">
        <f aca="false">E276*F276</f>
        <v>4500</v>
      </c>
      <c r="H276" s="0" t="str">
        <f aca="false">TEXT(A276,"mmm-yy")</f>
        <v>Apr-26</v>
      </c>
    </row>
    <row r="277" customFormat="false" ht="15" hidden="false" customHeight="false" outlineLevel="0" collapsed="false">
      <c r="A277" s="2" t="n">
        <v>46131</v>
      </c>
      <c r="B277" s="3" t="s">
        <v>11</v>
      </c>
      <c r="C277" s="3" t="s">
        <v>12</v>
      </c>
      <c r="D277" s="3" t="s">
        <v>23</v>
      </c>
      <c r="E277" s="0" t="n">
        <v>5</v>
      </c>
      <c r="F277" s="4" t="n">
        <v>678</v>
      </c>
      <c r="G277" s="4" t="n">
        <f aca="false">E277*F277</f>
        <v>3390</v>
      </c>
      <c r="H277" s="0" t="str">
        <f aca="false">TEXT(A277,"mmm-yy")</f>
        <v>Apr-26</v>
      </c>
    </row>
    <row r="278" customFormat="false" ht="15" hidden="false" customHeight="false" outlineLevel="0" collapsed="false">
      <c r="A278" s="2" t="n">
        <v>46132</v>
      </c>
      <c r="B278" s="3" t="s">
        <v>26</v>
      </c>
      <c r="C278" s="3" t="s">
        <v>15</v>
      </c>
      <c r="D278" s="3" t="s">
        <v>18</v>
      </c>
      <c r="E278" s="0" t="n">
        <v>1</v>
      </c>
      <c r="F278" s="4" t="n">
        <v>375</v>
      </c>
      <c r="G278" s="4" t="n">
        <f aca="false">E278*F278</f>
        <v>375</v>
      </c>
      <c r="H278" s="0" t="str">
        <f aca="false">TEXT(A278,"mmm-yy")</f>
        <v>Apr-26</v>
      </c>
    </row>
    <row r="279" customFormat="false" ht="15" hidden="false" customHeight="false" outlineLevel="0" collapsed="false">
      <c r="A279" s="2" t="n">
        <v>46132</v>
      </c>
      <c r="B279" s="3" t="s">
        <v>28</v>
      </c>
      <c r="C279" s="3" t="s">
        <v>20</v>
      </c>
      <c r="D279" s="3" t="s">
        <v>18</v>
      </c>
      <c r="E279" s="0" t="n">
        <v>1</v>
      </c>
      <c r="F279" s="4" t="n">
        <v>1679</v>
      </c>
      <c r="G279" s="4" t="n">
        <f aca="false">E279*F279</f>
        <v>1679</v>
      </c>
      <c r="H279" s="0" t="str">
        <f aca="false">TEXT(A279,"mmm-yy")</f>
        <v>Apr-26</v>
      </c>
    </row>
    <row r="280" customFormat="false" ht="15" hidden="false" customHeight="false" outlineLevel="0" collapsed="false">
      <c r="A280" s="2" t="n">
        <v>46132</v>
      </c>
      <c r="B280" s="3" t="s">
        <v>11</v>
      </c>
      <c r="C280" s="3" t="s">
        <v>12</v>
      </c>
      <c r="D280" s="3" t="s">
        <v>13</v>
      </c>
      <c r="E280" s="0" t="n">
        <v>1</v>
      </c>
      <c r="F280" s="4" t="n">
        <v>692</v>
      </c>
      <c r="G280" s="4" t="n">
        <f aca="false">E280*F280</f>
        <v>692</v>
      </c>
      <c r="H280" s="0" t="str">
        <f aca="false">TEXT(A280,"mmm-yy")</f>
        <v>Apr-26</v>
      </c>
    </row>
    <row r="281" customFormat="false" ht="15" hidden="false" customHeight="false" outlineLevel="0" collapsed="false">
      <c r="A281" s="2" t="n">
        <v>46132</v>
      </c>
      <c r="B281" s="3" t="s">
        <v>25</v>
      </c>
      <c r="C281" s="3" t="s">
        <v>17</v>
      </c>
      <c r="D281" s="3" t="s">
        <v>10</v>
      </c>
      <c r="E281" s="0" t="n">
        <v>1</v>
      </c>
      <c r="F281" s="4" t="n">
        <v>2847</v>
      </c>
      <c r="G281" s="4" t="n">
        <f aca="false">E281*F281</f>
        <v>2847</v>
      </c>
      <c r="H281" s="0" t="str">
        <f aca="false">TEXT(A281,"mmm-yy")</f>
        <v>Apr-26</v>
      </c>
    </row>
    <row r="282" customFormat="false" ht="15" hidden="false" customHeight="false" outlineLevel="0" collapsed="false">
      <c r="A282" s="2" t="n">
        <v>46133</v>
      </c>
      <c r="B282" s="3" t="s">
        <v>14</v>
      </c>
      <c r="C282" s="3" t="s">
        <v>15</v>
      </c>
      <c r="D282" s="3" t="s">
        <v>23</v>
      </c>
      <c r="E282" s="0" t="n">
        <v>5</v>
      </c>
      <c r="F282" s="4" t="n">
        <v>816</v>
      </c>
      <c r="G282" s="4" t="n">
        <f aca="false">E282*F282</f>
        <v>4080</v>
      </c>
      <c r="H282" s="0" t="str">
        <f aca="false">TEXT(A282,"mmm-yy")</f>
        <v>Apr-26</v>
      </c>
    </row>
    <row r="283" customFormat="false" ht="15" hidden="false" customHeight="false" outlineLevel="0" collapsed="false">
      <c r="A283" s="2" t="n">
        <v>46133</v>
      </c>
      <c r="B283" s="3" t="s">
        <v>28</v>
      </c>
      <c r="C283" s="3" t="s">
        <v>20</v>
      </c>
      <c r="D283" s="3" t="s">
        <v>23</v>
      </c>
      <c r="E283" s="0" t="n">
        <v>5</v>
      </c>
      <c r="F283" s="4" t="n">
        <v>1833</v>
      </c>
      <c r="G283" s="4" t="n">
        <f aca="false">E283*F283</f>
        <v>9165</v>
      </c>
      <c r="H283" s="0" t="str">
        <f aca="false">TEXT(A283,"mmm-yy")</f>
        <v>Apr-26</v>
      </c>
    </row>
    <row r="284" customFormat="false" ht="15" hidden="false" customHeight="false" outlineLevel="0" collapsed="false">
      <c r="A284" s="2" t="n">
        <v>46133</v>
      </c>
      <c r="B284" s="3" t="s">
        <v>19</v>
      </c>
      <c r="C284" s="3" t="s">
        <v>20</v>
      </c>
      <c r="D284" s="3" t="s">
        <v>13</v>
      </c>
      <c r="E284" s="0" t="n">
        <v>4</v>
      </c>
      <c r="F284" s="4" t="n">
        <v>900</v>
      </c>
      <c r="G284" s="4" t="n">
        <f aca="false">E284*F284</f>
        <v>3600</v>
      </c>
      <c r="H284" s="0" t="str">
        <f aca="false">TEXT(A284,"mmm-yy")</f>
        <v>Apr-26</v>
      </c>
    </row>
    <row r="285" customFormat="false" ht="15" hidden="false" customHeight="false" outlineLevel="0" collapsed="false">
      <c r="A285" s="2" t="n">
        <v>46134</v>
      </c>
      <c r="B285" s="3" t="s">
        <v>26</v>
      </c>
      <c r="C285" s="3" t="s">
        <v>15</v>
      </c>
      <c r="D285" s="3" t="s">
        <v>10</v>
      </c>
      <c r="E285" s="0" t="n">
        <v>5</v>
      </c>
      <c r="F285" s="4" t="n">
        <v>357</v>
      </c>
      <c r="G285" s="4" t="n">
        <f aca="false">E285*F285</f>
        <v>1785</v>
      </c>
      <c r="H285" s="0" t="str">
        <f aca="false">TEXT(A285,"mmm-yy")</f>
        <v>Apr-26</v>
      </c>
    </row>
    <row r="286" customFormat="false" ht="15" hidden="false" customHeight="false" outlineLevel="0" collapsed="false">
      <c r="A286" s="2" t="n">
        <v>46135</v>
      </c>
      <c r="B286" s="3" t="s">
        <v>19</v>
      </c>
      <c r="C286" s="3" t="s">
        <v>20</v>
      </c>
      <c r="D286" s="3" t="s">
        <v>23</v>
      </c>
      <c r="E286" s="0" t="n">
        <v>4</v>
      </c>
      <c r="F286" s="4" t="n">
        <v>955</v>
      </c>
      <c r="G286" s="4" t="n">
        <f aca="false">E286*F286</f>
        <v>3820</v>
      </c>
      <c r="H286" s="0" t="str">
        <f aca="false">TEXT(A286,"mmm-yy")</f>
        <v>Apr-26</v>
      </c>
    </row>
    <row r="287" customFormat="false" ht="15" hidden="false" customHeight="false" outlineLevel="0" collapsed="false">
      <c r="A287" s="2" t="n">
        <v>46135</v>
      </c>
      <c r="B287" s="3" t="s">
        <v>19</v>
      </c>
      <c r="C287" s="3" t="s">
        <v>20</v>
      </c>
      <c r="D287" s="3" t="s">
        <v>23</v>
      </c>
      <c r="E287" s="0" t="n">
        <v>1</v>
      </c>
      <c r="F287" s="4" t="n">
        <v>884</v>
      </c>
      <c r="G287" s="4" t="n">
        <f aca="false">E287*F287</f>
        <v>884</v>
      </c>
      <c r="H287" s="0" t="str">
        <f aca="false">TEXT(A287,"mmm-yy")</f>
        <v>Apr-26</v>
      </c>
    </row>
    <row r="288" customFormat="false" ht="15" hidden="false" customHeight="false" outlineLevel="0" collapsed="false">
      <c r="A288" s="2" t="n">
        <v>46135</v>
      </c>
      <c r="B288" s="3" t="s">
        <v>28</v>
      </c>
      <c r="C288" s="3" t="s">
        <v>20</v>
      </c>
      <c r="D288" s="3" t="s">
        <v>23</v>
      </c>
      <c r="E288" s="0" t="n">
        <v>3</v>
      </c>
      <c r="F288" s="4" t="n">
        <v>1648</v>
      </c>
      <c r="G288" s="4" t="n">
        <f aca="false">E288*F288</f>
        <v>4944</v>
      </c>
      <c r="H288" s="0" t="str">
        <f aca="false">TEXT(A288,"mmm-yy")</f>
        <v>Apr-26</v>
      </c>
    </row>
    <row r="289" customFormat="false" ht="15" hidden="false" customHeight="false" outlineLevel="0" collapsed="false">
      <c r="A289" s="2" t="n">
        <v>46135</v>
      </c>
      <c r="B289" s="3" t="s">
        <v>27</v>
      </c>
      <c r="C289" s="3" t="s">
        <v>9</v>
      </c>
      <c r="D289" s="3" t="s">
        <v>13</v>
      </c>
      <c r="E289" s="0" t="n">
        <v>4</v>
      </c>
      <c r="F289" s="4" t="n">
        <v>1544</v>
      </c>
      <c r="G289" s="4" t="n">
        <f aca="false">E289*F289</f>
        <v>6176</v>
      </c>
      <c r="H289" s="0" t="str">
        <f aca="false">TEXT(A289,"mmm-yy")</f>
        <v>Apr-26</v>
      </c>
    </row>
    <row r="290" customFormat="false" ht="15" hidden="false" customHeight="false" outlineLevel="0" collapsed="false">
      <c r="A290" s="2" t="n">
        <v>46136</v>
      </c>
      <c r="B290" s="3" t="s">
        <v>22</v>
      </c>
      <c r="C290" s="3" t="s">
        <v>9</v>
      </c>
      <c r="D290" s="3" t="s">
        <v>23</v>
      </c>
      <c r="E290" s="0" t="n">
        <v>1</v>
      </c>
      <c r="F290" s="4" t="n">
        <v>3271</v>
      </c>
      <c r="G290" s="4" t="n">
        <f aca="false">E290*F290</f>
        <v>3271</v>
      </c>
      <c r="H290" s="0" t="str">
        <f aca="false">TEXT(A290,"mmm-yy")</f>
        <v>Apr-26</v>
      </c>
    </row>
    <row r="291" customFormat="false" ht="15" hidden="false" customHeight="false" outlineLevel="0" collapsed="false">
      <c r="A291" s="2" t="n">
        <v>46137</v>
      </c>
      <c r="B291" s="3" t="s">
        <v>24</v>
      </c>
      <c r="C291" s="3" t="s">
        <v>20</v>
      </c>
      <c r="D291" s="3" t="s">
        <v>23</v>
      </c>
      <c r="E291" s="0" t="n">
        <v>5</v>
      </c>
      <c r="F291" s="4" t="n">
        <v>557</v>
      </c>
      <c r="G291" s="4" t="n">
        <f aca="false">E291*F291</f>
        <v>2785</v>
      </c>
      <c r="H291" s="0" t="str">
        <f aca="false">TEXT(A291,"mmm-yy")</f>
        <v>Apr-26</v>
      </c>
    </row>
    <row r="292" customFormat="false" ht="15" hidden="false" customHeight="false" outlineLevel="0" collapsed="false">
      <c r="A292" s="2" t="n">
        <v>46137</v>
      </c>
      <c r="B292" s="3" t="s">
        <v>26</v>
      </c>
      <c r="C292" s="3" t="s">
        <v>15</v>
      </c>
      <c r="D292" s="3" t="s">
        <v>18</v>
      </c>
      <c r="E292" s="0" t="n">
        <v>3</v>
      </c>
      <c r="F292" s="4" t="n">
        <v>328</v>
      </c>
      <c r="G292" s="4" t="n">
        <f aca="false">E292*F292</f>
        <v>984</v>
      </c>
      <c r="H292" s="0" t="str">
        <f aca="false">TEXT(A292,"mmm-yy")</f>
        <v>Apr-26</v>
      </c>
    </row>
    <row r="293" customFormat="false" ht="15" hidden="false" customHeight="false" outlineLevel="0" collapsed="false">
      <c r="A293" s="2" t="n">
        <v>46138</v>
      </c>
      <c r="B293" s="3" t="s">
        <v>29</v>
      </c>
      <c r="C293" s="3" t="s">
        <v>17</v>
      </c>
      <c r="D293" s="3" t="s">
        <v>13</v>
      </c>
      <c r="E293" s="0" t="n">
        <v>3</v>
      </c>
      <c r="F293" s="4" t="n">
        <v>2336</v>
      </c>
      <c r="G293" s="4" t="n">
        <f aca="false">E293*F293</f>
        <v>7008</v>
      </c>
      <c r="H293" s="0" t="str">
        <f aca="false">TEXT(A293,"mmm-yy")</f>
        <v>Apr-26</v>
      </c>
    </row>
    <row r="294" customFormat="false" ht="15" hidden="false" customHeight="false" outlineLevel="0" collapsed="false">
      <c r="A294" s="2" t="n">
        <v>46139</v>
      </c>
      <c r="B294" s="3" t="s">
        <v>27</v>
      </c>
      <c r="C294" s="3" t="s">
        <v>9</v>
      </c>
      <c r="D294" s="3" t="s">
        <v>13</v>
      </c>
      <c r="E294" s="0" t="n">
        <v>2</v>
      </c>
      <c r="F294" s="4" t="n">
        <v>1537</v>
      </c>
      <c r="G294" s="4" t="n">
        <f aca="false">E294*F294</f>
        <v>3074</v>
      </c>
      <c r="H294" s="0" t="str">
        <f aca="false">TEXT(A294,"mmm-yy")</f>
        <v>Apr-26</v>
      </c>
    </row>
    <row r="295" customFormat="false" ht="15" hidden="false" customHeight="false" outlineLevel="0" collapsed="false">
      <c r="A295" s="2" t="n">
        <v>46139</v>
      </c>
      <c r="B295" s="3" t="s">
        <v>25</v>
      </c>
      <c r="C295" s="3" t="s">
        <v>17</v>
      </c>
      <c r="D295" s="3" t="s">
        <v>13</v>
      </c>
      <c r="E295" s="0" t="n">
        <v>3</v>
      </c>
      <c r="F295" s="4" t="n">
        <v>2954</v>
      </c>
      <c r="G295" s="4" t="n">
        <f aca="false">E295*F295</f>
        <v>8862</v>
      </c>
      <c r="H295" s="0" t="str">
        <f aca="false">TEXT(A295,"mmm-yy")</f>
        <v>Apr-26</v>
      </c>
    </row>
    <row r="296" customFormat="false" ht="15" hidden="false" customHeight="false" outlineLevel="0" collapsed="false">
      <c r="A296" s="2" t="n">
        <v>46140</v>
      </c>
      <c r="B296" s="3" t="s">
        <v>14</v>
      </c>
      <c r="C296" s="3" t="s">
        <v>15</v>
      </c>
      <c r="D296" s="3" t="s">
        <v>13</v>
      </c>
      <c r="E296" s="0" t="n">
        <v>4</v>
      </c>
      <c r="F296" s="4" t="n">
        <v>764</v>
      </c>
      <c r="G296" s="4" t="n">
        <f aca="false">E296*F296</f>
        <v>3056</v>
      </c>
      <c r="H296" s="0" t="str">
        <f aca="false">TEXT(A296,"mmm-yy")</f>
        <v>Apr-26</v>
      </c>
    </row>
    <row r="297" customFormat="false" ht="15" hidden="false" customHeight="false" outlineLevel="0" collapsed="false">
      <c r="A297" s="2" t="n">
        <v>46140</v>
      </c>
      <c r="B297" s="3" t="s">
        <v>14</v>
      </c>
      <c r="C297" s="3" t="s">
        <v>15</v>
      </c>
      <c r="D297" s="3" t="s">
        <v>13</v>
      </c>
      <c r="E297" s="0" t="n">
        <v>3</v>
      </c>
      <c r="F297" s="4" t="n">
        <v>854</v>
      </c>
      <c r="G297" s="4" t="n">
        <f aca="false">E297*F297</f>
        <v>2562</v>
      </c>
      <c r="H297" s="0" t="str">
        <f aca="false">TEXT(A297,"mmm-yy")</f>
        <v>Apr-26</v>
      </c>
    </row>
    <row r="298" customFormat="false" ht="15" hidden="false" customHeight="false" outlineLevel="0" collapsed="false">
      <c r="A298" s="2" t="n">
        <v>46140</v>
      </c>
      <c r="B298" s="3" t="s">
        <v>27</v>
      </c>
      <c r="C298" s="3" t="s">
        <v>9</v>
      </c>
      <c r="D298" s="3" t="s">
        <v>23</v>
      </c>
      <c r="E298" s="0" t="n">
        <v>3</v>
      </c>
      <c r="F298" s="4" t="n">
        <v>1445</v>
      </c>
      <c r="G298" s="4" t="n">
        <f aca="false">E298*F298</f>
        <v>4335</v>
      </c>
      <c r="H298" s="0" t="str">
        <f aca="false">TEXT(A298,"mmm-yy")</f>
        <v>Apr-26</v>
      </c>
    </row>
    <row r="299" customFormat="false" ht="15" hidden="false" customHeight="false" outlineLevel="0" collapsed="false">
      <c r="A299" s="2" t="n">
        <v>46141</v>
      </c>
      <c r="B299" s="3" t="s">
        <v>8</v>
      </c>
      <c r="C299" s="3" t="s">
        <v>9</v>
      </c>
      <c r="D299" s="3" t="s">
        <v>18</v>
      </c>
      <c r="E299" s="0" t="n">
        <v>2</v>
      </c>
      <c r="F299" s="4" t="n">
        <v>1802</v>
      </c>
      <c r="G299" s="4" t="n">
        <f aca="false">E299*F299</f>
        <v>3604</v>
      </c>
      <c r="H299" s="0" t="str">
        <f aca="false">TEXT(A299,"mmm-yy")</f>
        <v>Apr-26</v>
      </c>
    </row>
    <row r="300" customFormat="false" ht="15" hidden="false" customHeight="false" outlineLevel="0" collapsed="false">
      <c r="A300" s="2" t="n">
        <v>46141</v>
      </c>
      <c r="B300" s="3" t="s">
        <v>22</v>
      </c>
      <c r="C300" s="3" t="s">
        <v>9</v>
      </c>
      <c r="D300" s="3" t="s">
        <v>13</v>
      </c>
      <c r="E300" s="0" t="n">
        <v>1</v>
      </c>
      <c r="F300" s="4" t="n">
        <v>3299</v>
      </c>
      <c r="G300" s="4" t="n">
        <f aca="false">E300*F300</f>
        <v>3299</v>
      </c>
      <c r="H300" s="0" t="str">
        <f aca="false">TEXT(A300,"mmm-yy")</f>
        <v>Apr-26</v>
      </c>
    </row>
    <row r="301" customFormat="false" ht="15" hidden="false" customHeight="false" outlineLevel="0" collapsed="false">
      <c r="A301" s="2" t="n">
        <v>46141</v>
      </c>
      <c r="B301" s="3" t="s">
        <v>11</v>
      </c>
      <c r="C301" s="3" t="s">
        <v>12</v>
      </c>
      <c r="D301" s="3" t="s">
        <v>18</v>
      </c>
      <c r="E301" s="0" t="n">
        <v>4</v>
      </c>
      <c r="F301" s="4" t="n">
        <v>652</v>
      </c>
      <c r="G301" s="4" t="n">
        <f aca="false">E301*F301</f>
        <v>2608</v>
      </c>
      <c r="H301" s="0" t="str">
        <f aca="false">TEXT(A301,"mmm-yy")</f>
        <v>Apr-26</v>
      </c>
    </row>
    <row r="302" customFormat="false" ht="15" hidden="false" customHeight="false" outlineLevel="0" collapsed="false">
      <c r="A302" s="2" t="n">
        <v>46142</v>
      </c>
      <c r="B302" s="3" t="s">
        <v>25</v>
      </c>
      <c r="C302" s="3" t="s">
        <v>17</v>
      </c>
      <c r="D302" s="3" t="s">
        <v>23</v>
      </c>
      <c r="E302" s="0" t="n">
        <v>3</v>
      </c>
      <c r="F302" s="4" t="n">
        <v>2646</v>
      </c>
      <c r="G302" s="4" t="n">
        <f aca="false">E302*F302</f>
        <v>7938</v>
      </c>
      <c r="H302" s="0" t="str">
        <f aca="false">TEXT(A302,"mmm-yy")</f>
        <v>Apr-26</v>
      </c>
    </row>
    <row r="303" customFormat="false" ht="15" hidden="false" customHeight="false" outlineLevel="0" collapsed="false">
      <c r="A303" s="2" t="n">
        <v>46142</v>
      </c>
      <c r="B303" s="3" t="s">
        <v>21</v>
      </c>
      <c r="C303" s="3" t="s">
        <v>12</v>
      </c>
      <c r="D303" s="3" t="s">
        <v>13</v>
      </c>
      <c r="E303" s="0" t="n">
        <v>5</v>
      </c>
      <c r="F303" s="4" t="n">
        <v>427</v>
      </c>
      <c r="G303" s="4" t="n">
        <f aca="false">E303*F303</f>
        <v>2135</v>
      </c>
      <c r="H303" s="0" t="str">
        <f aca="false">TEXT(A303,"mmm-yy")</f>
        <v>Apr-26</v>
      </c>
    </row>
    <row r="304" customFormat="false" ht="15" hidden="false" customHeight="false" outlineLevel="0" collapsed="false">
      <c r="A304" s="2" t="n">
        <v>46142</v>
      </c>
      <c r="B304" s="3" t="s">
        <v>8</v>
      </c>
      <c r="C304" s="3" t="s">
        <v>9</v>
      </c>
      <c r="D304" s="3" t="s">
        <v>13</v>
      </c>
      <c r="E304" s="0" t="n">
        <v>5</v>
      </c>
      <c r="F304" s="4" t="n">
        <v>1794</v>
      </c>
      <c r="G304" s="4" t="n">
        <f aca="false">E304*F304</f>
        <v>8970</v>
      </c>
      <c r="H304" s="0" t="str">
        <f aca="false">TEXT(A304,"mmm-yy")</f>
        <v>Apr-26</v>
      </c>
    </row>
    <row r="305" customFormat="false" ht="15" hidden="false" customHeight="false" outlineLevel="0" collapsed="false">
      <c r="A305" s="2" t="n">
        <v>46142</v>
      </c>
      <c r="B305" s="3" t="s">
        <v>26</v>
      </c>
      <c r="C305" s="3" t="s">
        <v>15</v>
      </c>
      <c r="D305" s="3" t="s">
        <v>18</v>
      </c>
      <c r="E305" s="0" t="n">
        <v>4</v>
      </c>
      <c r="F305" s="4" t="n">
        <v>326</v>
      </c>
      <c r="G305" s="4" t="n">
        <f aca="false">E305*F305</f>
        <v>1304</v>
      </c>
      <c r="H305" s="0" t="str">
        <f aca="false">TEXT(A305,"mmm-yy")</f>
        <v>Apr-26</v>
      </c>
    </row>
    <row r="306" customFormat="false" ht="15" hidden="false" customHeight="false" outlineLevel="0" collapsed="false">
      <c r="A306" s="2" t="n">
        <v>46143</v>
      </c>
      <c r="B306" s="3" t="s">
        <v>14</v>
      </c>
      <c r="C306" s="3" t="s">
        <v>15</v>
      </c>
      <c r="D306" s="3" t="s">
        <v>10</v>
      </c>
      <c r="E306" s="0" t="n">
        <v>3</v>
      </c>
      <c r="F306" s="4" t="n">
        <v>792</v>
      </c>
      <c r="G306" s="4" t="n">
        <f aca="false">E306*F306</f>
        <v>2376</v>
      </c>
      <c r="H306" s="0" t="str">
        <f aca="false">TEXT(A306,"mmm-yy")</f>
        <v>May-26</v>
      </c>
    </row>
    <row r="307" customFormat="false" ht="15" hidden="false" customHeight="false" outlineLevel="0" collapsed="false">
      <c r="A307" s="2" t="n">
        <v>46143</v>
      </c>
      <c r="B307" s="3" t="s">
        <v>21</v>
      </c>
      <c r="C307" s="3" t="s">
        <v>12</v>
      </c>
      <c r="D307" s="3" t="s">
        <v>18</v>
      </c>
      <c r="E307" s="0" t="n">
        <v>3</v>
      </c>
      <c r="F307" s="4" t="n">
        <v>400</v>
      </c>
      <c r="G307" s="4" t="n">
        <f aca="false">E307*F307</f>
        <v>1200</v>
      </c>
      <c r="H307" s="0" t="str">
        <f aca="false">TEXT(A307,"mmm-yy")</f>
        <v>May-26</v>
      </c>
    </row>
    <row r="308" customFormat="false" ht="15" hidden="false" customHeight="false" outlineLevel="0" collapsed="false">
      <c r="A308" s="2" t="n">
        <v>46143</v>
      </c>
      <c r="B308" s="3" t="s">
        <v>22</v>
      </c>
      <c r="C308" s="3" t="s">
        <v>9</v>
      </c>
      <c r="D308" s="3" t="s">
        <v>18</v>
      </c>
      <c r="E308" s="0" t="n">
        <v>5</v>
      </c>
      <c r="F308" s="4" t="n">
        <v>3378</v>
      </c>
      <c r="G308" s="4" t="n">
        <f aca="false">E308*F308</f>
        <v>16890</v>
      </c>
      <c r="H308" s="0" t="str">
        <f aca="false">TEXT(A308,"mmm-yy")</f>
        <v>May-26</v>
      </c>
    </row>
    <row r="309" customFormat="false" ht="15" hidden="false" customHeight="false" outlineLevel="0" collapsed="false">
      <c r="A309" s="2" t="n">
        <v>46143</v>
      </c>
      <c r="B309" s="3" t="s">
        <v>24</v>
      </c>
      <c r="C309" s="3" t="s">
        <v>20</v>
      </c>
      <c r="D309" s="3" t="s">
        <v>10</v>
      </c>
      <c r="E309" s="0" t="n">
        <v>1</v>
      </c>
      <c r="F309" s="4" t="n">
        <v>615</v>
      </c>
      <c r="G309" s="4" t="n">
        <f aca="false">E309*F309</f>
        <v>615</v>
      </c>
      <c r="H309" s="0" t="str">
        <f aca="false">TEXT(A309,"mmm-yy")</f>
        <v>May-26</v>
      </c>
    </row>
    <row r="310" customFormat="false" ht="15" hidden="false" customHeight="false" outlineLevel="0" collapsed="false">
      <c r="A310" s="2" t="n">
        <v>46144</v>
      </c>
      <c r="B310" s="3" t="s">
        <v>14</v>
      </c>
      <c r="C310" s="3" t="s">
        <v>15</v>
      </c>
      <c r="D310" s="3" t="s">
        <v>23</v>
      </c>
      <c r="E310" s="0" t="n">
        <v>2</v>
      </c>
      <c r="F310" s="4" t="n">
        <v>742</v>
      </c>
      <c r="G310" s="4" t="n">
        <f aca="false">E310*F310</f>
        <v>1484</v>
      </c>
      <c r="H310" s="0" t="str">
        <f aca="false">TEXT(A310,"mmm-yy")</f>
        <v>May-26</v>
      </c>
    </row>
    <row r="311" customFormat="false" ht="15" hidden="false" customHeight="false" outlineLevel="0" collapsed="false">
      <c r="A311" s="2" t="n">
        <v>46144</v>
      </c>
      <c r="B311" s="3" t="s">
        <v>16</v>
      </c>
      <c r="C311" s="3" t="s">
        <v>17</v>
      </c>
      <c r="D311" s="3" t="s">
        <v>23</v>
      </c>
      <c r="E311" s="0" t="n">
        <v>3</v>
      </c>
      <c r="F311" s="4" t="n">
        <v>520</v>
      </c>
      <c r="G311" s="4" t="n">
        <f aca="false">E311*F311</f>
        <v>1560</v>
      </c>
      <c r="H311" s="0" t="str">
        <f aca="false">TEXT(A311,"mmm-yy")</f>
        <v>May-26</v>
      </c>
    </row>
    <row r="312" customFormat="false" ht="15" hidden="false" customHeight="false" outlineLevel="0" collapsed="false">
      <c r="A312" s="2" t="n">
        <v>46144</v>
      </c>
      <c r="B312" s="3" t="s">
        <v>25</v>
      </c>
      <c r="C312" s="3" t="s">
        <v>17</v>
      </c>
      <c r="D312" s="3" t="s">
        <v>18</v>
      </c>
      <c r="E312" s="0" t="n">
        <v>4</v>
      </c>
      <c r="F312" s="4" t="n">
        <v>2629</v>
      </c>
      <c r="G312" s="4" t="n">
        <f aca="false">E312*F312</f>
        <v>10516</v>
      </c>
      <c r="H312" s="0" t="str">
        <f aca="false">TEXT(A312,"mmm-yy")</f>
        <v>May-26</v>
      </c>
    </row>
    <row r="313" customFormat="false" ht="15" hidden="false" customHeight="false" outlineLevel="0" collapsed="false">
      <c r="A313" s="2" t="n">
        <v>46144</v>
      </c>
      <c r="B313" s="3" t="s">
        <v>27</v>
      </c>
      <c r="C313" s="3" t="s">
        <v>9</v>
      </c>
      <c r="D313" s="3" t="s">
        <v>10</v>
      </c>
      <c r="E313" s="0" t="n">
        <v>5</v>
      </c>
      <c r="F313" s="4" t="n">
        <v>1410</v>
      </c>
      <c r="G313" s="4" t="n">
        <f aca="false">E313*F313</f>
        <v>7050</v>
      </c>
      <c r="H313" s="0" t="str">
        <f aca="false">TEXT(A313,"mmm-yy")</f>
        <v>May-26</v>
      </c>
    </row>
    <row r="314" customFormat="false" ht="15" hidden="false" customHeight="false" outlineLevel="0" collapsed="false">
      <c r="A314" s="2" t="n">
        <v>46145</v>
      </c>
      <c r="B314" s="3" t="s">
        <v>22</v>
      </c>
      <c r="C314" s="3" t="s">
        <v>9</v>
      </c>
      <c r="D314" s="3" t="s">
        <v>18</v>
      </c>
      <c r="E314" s="0" t="n">
        <v>1</v>
      </c>
      <c r="F314" s="4" t="n">
        <v>3441</v>
      </c>
      <c r="G314" s="4" t="n">
        <f aca="false">E314*F314</f>
        <v>3441</v>
      </c>
      <c r="H314" s="0" t="str">
        <f aca="false">TEXT(A314,"mmm-yy")</f>
        <v>May-26</v>
      </c>
    </row>
    <row r="315" customFormat="false" ht="15" hidden="false" customHeight="false" outlineLevel="0" collapsed="false">
      <c r="A315" s="2" t="n">
        <v>46145</v>
      </c>
      <c r="B315" s="3" t="s">
        <v>8</v>
      </c>
      <c r="C315" s="3" t="s">
        <v>9</v>
      </c>
      <c r="D315" s="3" t="s">
        <v>23</v>
      </c>
      <c r="E315" s="0" t="n">
        <v>1</v>
      </c>
      <c r="F315" s="4" t="n">
        <v>1887</v>
      </c>
      <c r="G315" s="4" t="n">
        <f aca="false">E315*F315</f>
        <v>1887</v>
      </c>
      <c r="H315" s="0" t="str">
        <f aca="false">TEXT(A315,"mmm-yy")</f>
        <v>May-26</v>
      </c>
    </row>
    <row r="316" customFormat="false" ht="15" hidden="false" customHeight="false" outlineLevel="0" collapsed="false">
      <c r="A316" s="2" t="n">
        <v>46145</v>
      </c>
      <c r="B316" s="3" t="s">
        <v>14</v>
      </c>
      <c r="C316" s="3" t="s">
        <v>15</v>
      </c>
      <c r="D316" s="3" t="s">
        <v>18</v>
      </c>
      <c r="E316" s="0" t="n">
        <v>4</v>
      </c>
      <c r="F316" s="4" t="n">
        <v>790</v>
      </c>
      <c r="G316" s="4" t="n">
        <f aca="false">E316*F316</f>
        <v>3160</v>
      </c>
      <c r="H316" s="0" t="str">
        <f aca="false">TEXT(A316,"mmm-yy")</f>
        <v>May-26</v>
      </c>
    </row>
    <row r="317" customFormat="false" ht="15" hidden="false" customHeight="false" outlineLevel="0" collapsed="false">
      <c r="A317" s="2" t="n">
        <v>46146</v>
      </c>
      <c r="B317" s="3" t="s">
        <v>22</v>
      </c>
      <c r="C317" s="3" t="s">
        <v>9</v>
      </c>
      <c r="D317" s="3" t="s">
        <v>10</v>
      </c>
      <c r="E317" s="0" t="n">
        <v>3</v>
      </c>
      <c r="F317" s="4" t="n">
        <v>3446</v>
      </c>
      <c r="G317" s="4" t="n">
        <f aca="false">E317*F317</f>
        <v>10338</v>
      </c>
      <c r="H317" s="0" t="str">
        <f aca="false">TEXT(A317,"mmm-yy")</f>
        <v>May-26</v>
      </c>
    </row>
    <row r="318" customFormat="false" ht="15" hidden="false" customHeight="false" outlineLevel="0" collapsed="false">
      <c r="A318" s="2" t="n">
        <v>46146</v>
      </c>
      <c r="B318" s="3" t="s">
        <v>21</v>
      </c>
      <c r="C318" s="3" t="s">
        <v>12</v>
      </c>
      <c r="D318" s="3" t="s">
        <v>23</v>
      </c>
      <c r="E318" s="0" t="n">
        <v>4</v>
      </c>
      <c r="F318" s="4" t="n">
        <v>428</v>
      </c>
      <c r="G318" s="4" t="n">
        <f aca="false">E318*F318</f>
        <v>1712</v>
      </c>
      <c r="H318" s="0" t="str">
        <f aca="false">TEXT(A318,"mmm-yy")</f>
        <v>May-26</v>
      </c>
    </row>
    <row r="319" customFormat="false" ht="15" hidden="false" customHeight="false" outlineLevel="0" collapsed="false">
      <c r="A319" s="2" t="n">
        <v>46146</v>
      </c>
      <c r="B319" s="3" t="s">
        <v>22</v>
      </c>
      <c r="C319" s="3" t="s">
        <v>9</v>
      </c>
      <c r="D319" s="3" t="s">
        <v>10</v>
      </c>
      <c r="E319" s="0" t="n">
        <v>1</v>
      </c>
      <c r="F319" s="4" t="n">
        <v>3464</v>
      </c>
      <c r="G319" s="4" t="n">
        <f aca="false">E319*F319</f>
        <v>3464</v>
      </c>
      <c r="H319" s="0" t="str">
        <f aca="false">TEXT(A319,"mmm-yy")</f>
        <v>May-26</v>
      </c>
    </row>
    <row r="320" customFormat="false" ht="15" hidden="false" customHeight="false" outlineLevel="0" collapsed="false">
      <c r="A320" s="2" t="n">
        <v>46147</v>
      </c>
      <c r="B320" s="3" t="s">
        <v>14</v>
      </c>
      <c r="C320" s="3" t="s">
        <v>15</v>
      </c>
      <c r="D320" s="3" t="s">
        <v>18</v>
      </c>
      <c r="E320" s="0" t="n">
        <v>1</v>
      </c>
      <c r="F320" s="4" t="n">
        <v>786</v>
      </c>
      <c r="G320" s="4" t="n">
        <f aca="false">E320*F320</f>
        <v>786</v>
      </c>
      <c r="H320" s="0" t="str">
        <f aca="false">TEXT(A320,"mmm-yy")</f>
        <v>May-26</v>
      </c>
    </row>
    <row r="321" customFormat="false" ht="15" hidden="false" customHeight="false" outlineLevel="0" collapsed="false">
      <c r="A321" s="2" t="n">
        <v>46147</v>
      </c>
      <c r="B321" s="3" t="s">
        <v>29</v>
      </c>
      <c r="C321" s="3" t="s">
        <v>17</v>
      </c>
      <c r="D321" s="3" t="s">
        <v>23</v>
      </c>
      <c r="E321" s="0" t="n">
        <v>2</v>
      </c>
      <c r="F321" s="4" t="n">
        <v>2389</v>
      </c>
      <c r="G321" s="4" t="n">
        <f aca="false">E321*F321</f>
        <v>4778</v>
      </c>
      <c r="H321" s="0" t="str">
        <f aca="false">TEXT(A321,"mmm-yy")</f>
        <v>May-26</v>
      </c>
    </row>
    <row r="322" customFormat="false" ht="15" hidden="false" customHeight="false" outlineLevel="0" collapsed="false">
      <c r="A322" s="2" t="n">
        <v>46147</v>
      </c>
      <c r="B322" s="3" t="s">
        <v>21</v>
      </c>
      <c r="C322" s="3" t="s">
        <v>12</v>
      </c>
      <c r="D322" s="3" t="s">
        <v>13</v>
      </c>
      <c r="E322" s="0" t="n">
        <v>5</v>
      </c>
      <c r="F322" s="4" t="n">
        <v>378</v>
      </c>
      <c r="G322" s="4" t="n">
        <f aca="false">E322*F322</f>
        <v>1890</v>
      </c>
      <c r="H322" s="0" t="str">
        <f aca="false">TEXT(A322,"mmm-yy")</f>
        <v>May-26</v>
      </c>
    </row>
    <row r="323" customFormat="false" ht="15" hidden="false" customHeight="false" outlineLevel="0" collapsed="false">
      <c r="A323" s="2" t="n">
        <v>46147</v>
      </c>
      <c r="B323" s="3" t="s">
        <v>24</v>
      </c>
      <c r="C323" s="3" t="s">
        <v>20</v>
      </c>
      <c r="D323" s="3" t="s">
        <v>23</v>
      </c>
      <c r="E323" s="0" t="n">
        <v>3</v>
      </c>
      <c r="F323" s="4" t="n">
        <v>600</v>
      </c>
      <c r="G323" s="4" t="n">
        <f aca="false">E323*F323</f>
        <v>1800</v>
      </c>
      <c r="H323" s="0" t="str">
        <f aca="false">TEXT(A323,"mmm-yy")</f>
        <v>May-26</v>
      </c>
    </row>
    <row r="324" customFormat="false" ht="15" hidden="false" customHeight="false" outlineLevel="0" collapsed="false">
      <c r="A324" s="2" t="n">
        <v>46148</v>
      </c>
      <c r="B324" s="3" t="s">
        <v>16</v>
      </c>
      <c r="C324" s="3" t="s">
        <v>17</v>
      </c>
      <c r="D324" s="3" t="s">
        <v>10</v>
      </c>
      <c r="E324" s="0" t="n">
        <v>3</v>
      </c>
      <c r="F324" s="4" t="n">
        <v>467</v>
      </c>
      <c r="G324" s="4" t="n">
        <f aca="false">E324*F324</f>
        <v>1401</v>
      </c>
      <c r="H324" s="0" t="str">
        <f aca="false">TEXT(A324,"mmm-yy")</f>
        <v>May-26</v>
      </c>
    </row>
    <row r="325" customFormat="false" ht="15" hidden="false" customHeight="false" outlineLevel="0" collapsed="false">
      <c r="A325" s="2" t="n">
        <v>46148</v>
      </c>
      <c r="B325" s="3" t="s">
        <v>27</v>
      </c>
      <c r="C325" s="3" t="s">
        <v>9</v>
      </c>
      <c r="D325" s="3" t="s">
        <v>10</v>
      </c>
      <c r="E325" s="0" t="n">
        <v>1</v>
      </c>
      <c r="F325" s="4" t="n">
        <v>1524</v>
      </c>
      <c r="G325" s="4" t="n">
        <f aca="false">E325*F325</f>
        <v>1524</v>
      </c>
      <c r="H325" s="0" t="str">
        <f aca="false">TEXT(A325,"mmm-yy")</f>
        <v>May-26</v>
      </c>
    </row>
    <row r="326" customFormat="false" ht="15" hidden="false" customHeight="false" outlineLevel="0" collapsed="false">
      <c r="A326" s="2" t="n">
        <v>46149</v>
      </c>
      <c r="B326" s="3" t="s">
        <v>19</v>
      </c>
      <c r="C326" s="3" t="s">
        <v>20</v>
      </c>
      <c r="D326" s="3" t="s">
        <v>18</v>
      </c>
      <c r="E326" s="0" t="n">
        <v>5</v>
      </c>
      <c r="F326" s="4" t="n">
        <v>936</v>
      </c>
      <c r="G326" s="4" t="n">
        <f aca="false">E326*F326</f>
        <v>4680</v>
      </c>
      <c r="H326" s="0" t="str">
        <f aca="false">TEXT(A326,"mmm-yy")</f>
        <v>May-26</v>
      </c>
    </row>
    <row r="327" customFormat="false" ht="15" hidden="false" customHeight="false" outlineLevel="0" collapsed="false">
      <c r="A327" s="2" t="n">
        <v>46149</v>
      </c>
      <c r="B327" s="3" t="s">
        <v>26</v>
      </c>
      <c r="C327" s="3" t="s">
        <v>15</v>
      </c>
      <c r="D327" s="3" t="s">
        <v>23</v>
      </c>
      <c r="E327" s="0" t="n">
        <v>5</v>
      </c>
      <c r="F327" s="4" t="n">
        <v>373</v>
      </c>
      <c r="G327" s="4" t="n">
        <f aca="false">E327*F327</f>
        <v>1865</v>
      </c>
      <c r="H327" s="0" t="str">
        <f aca="false">TEXT(A327,"mmm-yy")</f>
        <v>May-26</v>
      </c>
    </row>
    <row r="328" customFormat="false" ht="15" hidden="false" customHeight="false" outlineLevel="0" collapsed="false">
      <c r="A328" s="2" t="n">
        <v>46149</v>
      </c>
      <c r="B328" s="3" t="s">
        <v>26</v>
      </c>
      <c r="C328" s="3" t="s">
        <v>15</v>
      </c>
      <c r="D328" s="3" t="s">
        <v>13</v>
      </c>
      <c r="E328" s="0" t="n">
        <v>4</v>
      </c>
      <c r="F328" s="4" t="n">
        <v>339</v>
      </c>
      <c r="G328" s="4" t="n">
        <f aca="false">E328*F328</f>
        <v>1356</v>
      </c>
      <c r="H328" s="0" t="str">
        <f aca="false">TEXT(A328,"mmm-yy")</f>
        <v>May-26</v>
      </c>
    </row>
    <row r="329" customFormat="false" ht="15" hidden="false" customHeight="false" outlineLevel="0" collapsed="false">
      <c r="A329" s="2" t="n">
        <v>46149</v>
      </c>
      <c r="B329" s="3" t="s">
        <v>19</v>
      </c>
      <c r="C329" s="3" t="s">
        <v>20</v>
      </c>
      <c r="D329" s="3" t="s">
        <v>23</v>
      </c>
      <c r="E329" s="0" t="n">
        <v>3</v>
      </c>
      <c r="F329" s="4" t="n">
        <v>891</v>
      </c>
      <c r="G329" s="4" t="n">
        <f aca="false">E329*F329</f>
        <v>2673</v>
      </c>
      <c r="H329" s="0" t="str">
        <f aca="false">TEXT(A329,"mmm-yy")</f>
        <v>May-26</v>
      </c>
    </row>
    <row r="330" customFormat="false" ht="15" hidden="false" customHeight="false" outlineLevel="0" collapsed="false">
      <c r="A330" s="2" t="n">
        <v>46150</v>
      </c>
      <c r="B330" s="3" t="s">
        <v>25</v>
      </c>
      <c r="C330" s="3" t="s">
        <v>17</v>
      </c>
      <c r="D330" s="3" t="s">
        <v>18</v>
      </c>
      <c r="E330" s="0" t="n">
        <v>3</v>
      </c>
      <c r="F330" s="4" t="n">
        <v>2802</v>
      </c>
      <c r="G330" s="4" t="n">
        <f aca="false">E330*F330</f>
        <v>8406</v>
      </c>
      <c r="H330" s="0" t="str">
        <f aca="false">TEXT(A330,"mmm-yy")</f>
        <v>May-26</v>
      </c>
    </row>
    <row r="331" customFormat="false" ht="15" hidden="false" customHeight="false" outlineLevel="0" collapsed="false">
      <c r="A331" s="2" t="n">
        <v>46151</v>
      </c>
      <c r="B331" s="3" t="s">
        <v>8</v>
      </c>
      <c r="C331" s="3" t="s">
        <v>9</v>
      </c>
      <c r="D331" s="3" t="s">
        <v>13</v>
      </c>
      <c r="E331" s="0" t="n">
        <v>3</v>
      </c>
      <c r="F331" s="4" t="n">
        <v>1764</v>
      </c>
      <c r="G331" s="4" t="n">
        <f aca="false">E331*F331</f>
        <v>5292</v>
      </c>
      <c r="H331" s="0" t="str">
        <f aca="false">TEXT(A331,"mmm-yy")</f>
        <v>May-26</v>
      </c>
    </row>
    <row r="332" customFormat="false" ht="15" hidden="false" customHeight="false" outlineLevel="0" collapsed="false">
      <c r="A332" s="2" t="n">
        <v>46151</v>
      </c>
      <c r="B332" s="3" t="s">
        <v>26</v>
      </c>
      <c r="C332" s="3" t="s">
        <v>15</v>
      </c>
      <c r="D332" s="3" t="s">
        <v>18</v>
      </c>
      <c r="E332" s="0" t="n">
        <v>1</v>
      </c>
      <c r="F332" s="4" t="n">
        <v>369</v>
      </c>
      <c r="G332" s="4" t="n">
        <f aca="false">E332*F332</f>
        <v>369</v>
      </c>
      <c r="H332" s="0" t="str">
        <f aca="false">TEXT(A332,"mmm-yy")</f>
        <v>May-26</v>
      </c>
    </row>
    <row r="333" customFormat="false" ht="15" hidden="false" customHeight="false" outlineLevel="0" collapsed="false">
      <c r="A333" s="2" t="n">
        <v>46151</v>
      </c>
      <c r="B333" s="3" t="s">
        <v>19</v>
      </c>
      <c r="C333" s="3" t="s">
        <v>20</v>
      </c>
      <c r="D333" s="3" t="s">
        <v>18</v>
      </c>
      <c r="E333" s="0" t="n">
        <v>1</v>
      </c>
      <c r="F333" s="4" t="n">
        <v>911</v>
      </c>
      <c r="G333" s="4" t="n">
        <f aca="false">E333*F333</f>
        <v>911</v>
      </c>
      <c r="H333" s="0" t="str">
        <f aca="false">TEXT(A333,"mmm-yy")</f>
        <v>May-26</v>
      </c>
    </row>
    <row r="334" customFormat="false" ht="15" hidden="false" customHeight="false" outlineLevel="0" collapsed="false">
      <c r="A334" s="2" t="n">
        <v>46151</v>
      </c>
      <c r="B334" s="3" t="s">
        <v>21</v>
      </c>
      <c r="C334" s="3" t="s">
        <v>12</v>
      </c>
      <c r="D334" s="3" t="s">
        <v>23</v>
      </c>
      <c r="E334" s="0" t="n">
        <v>2</v>
      </c>
      <c r="F334" s="4" t="n">
        <v>404</v>
      </c>
      <c r="G334" s="4" t="n">
        <f aca="false">E334*F334</f>
        <v>808</v>
      </c>
      <c r="H334" s="0" t="str">
        <f aca="false">TEXT(A334,"mmm-yy")</f>
        <v>May-26</v>
      </c>
    </row>
    <row r="335" customFormat="false" ht="15" hidden="false" customHeight="false" outlineLevel="0" collapsed="false">
      <c r="A335" s="2" t="n">
        <v>46152</v>
      </c>
      <c r="B335" s="3" t="s">
        <v>24</v>
      </c>
      <c r="C335" s="3" t="s">
        <v>20</v>
      </c>
      <c r="D335" s="3" t="s">
        <v>18</v>
      </c>
      <c r="E335" s="0" t="n">
        <v>1</v>
      </c>
      <c r="F335" s="4" t="n">
        <v>566</v>
      </c>
      <c r="G335" s="4" t="n">
        <f aca="false">E335*F335</f>
        <v>566</v>
      </c>
      <c r="H335" s="0" t="str">
        <f aca="false">TEXT(A335,"mmm-yy")</f>
        <v>May-26</v>
      </c>
    </row>
    <row r="336" customFormat="false" ht="15" hidden="false" customHeight="false" outlineLevel="0" collapsed="false">
      <c r="A336" s="2" t="n">
        <v>46152</v>
      </c>
      <c r="B336" s="3" t="s">
        <v>22</v>
      </c>
      <c r="C336" s="3" t="s">
        <v>9</v>
      </c>
      <c r="D336" s="3" t="s">
        <v>13</v>
      </c>
      <c r="E336" s="0" t="n">
        <v>3</v>
      </c>
      <c r="F336" s="4" t="n">
        <v>3673</v>
      </c>
      <c r="G336" s="4" t="n">
        <f aca="false">E336*F336</f>
        <v>11019</v>
      </c>
      <c r="H336" s="0" t="str">
        <f aca="false">TEXT(A336,"mmm-yy")</f>
        <v>May-26</v>
      </c>
    </row>
    <row r="337" customFormat="false" ht="15" hidden="false" customHeight="false" outlineLevel="0" collapsed="false">
      <c r="A337" s="2" t="n">
        <v>46152</v>
      </c>
      <c r="B337" s="3" t="s">
        <v>24</v>
      </c>
      <c r="C337" s="3" t="s">
        <v>20</v>
      </c>
      <c r="D337" s="3" t="s">
        <v>10</v>
      </c>
      <c r="E337" s="0" t="n">
        <v>1</v>
      </c>
      <c r="F337" s="4" t="n">
        <v>613</v>
      </c>
      <c r="G337" s="4" t="n">
        <f aca="false">E337*F337</f>
        <v>613</v>
      </c>
      <c r="H337" s="0" t="str">
        <f aca="false">TEXT(A337,"mmm-yy")</f>
        <v>May-26</v>
      </c>
    </row>
    <row r="338" customFormat="false" ht="15" hidden="false" customHeight="false" outlineLevel="0" collapsed="false">
      <c r="A338" s="2" t="n">
        <v>46152</v>
      </c>
      <c r="B338" s="3" t="s">
        <v>11</v>
      </c>
      <c r="C338" s="3" t="s">
        <v>12</v>
      </c>
      <c r="D338" s="3" t="s">
        <v>10</v>
      </c>
      <c r="E338" s="0" t="n">
        <v>4</v>
      </c>
      <c r="F338" s="4" t="n">
        <v>643</v>
      </c>
      <c r="G338" s="4" t="n">
        <f aca="false">E338*F338</f>
        <v>2572</v>
      </c>
      <c r="H338" s="0" t="str">
        <f aca="false">TEXT(A338,"mmm-yy")</f>
        <v>May-26</v>
      </c>
    </row>
    <row r="339" customFormat="false" ht="15" hidden="false" customHeight="false" outlineLevel="0" collapsed="false">
      <c r="A339" s="2" t="n">
        <v>46153</v>
      </c>
      <c r="B339" s="3" t="s">
        <v>25</v>
      </c>
      <c r="C339" s="3" t="s">
        <v>17</v>
      </c>
      <c r="D339" s="3" t="s">
        <v>18</v>
      </c>
      <c r="E339" s="0" t="n">
        <v>4</v>
      </c>
      <c r="F339" s="4" t="n">
        <v>2986</v>
      </c>
      <c r="G339" s="4" t="n">
        <f aca="false">E339*F339</f>
        <v>11944</v>
      </c>
      <c r="H339" s="0" t="str">
        <f aca="false">TEXT(A339,"mmm-yy")</f>
        <v>May-26</v>
      </c>
    </row>
    <row r="340" customFormat="false" ht="15" hidden="false" customHeight="false" outlineLevel="0" collapsed="false">
      <c r="A340" s="2" t="n">
        <v>46153</v>
      </c>
      <c r="B340" s="3" t="s">
        <v>21</v>
      </c>
      <c r="C340" s="3" t="s">
        <v>12</v>
      </c>
      <c r="D340" s="3" t="s">
        <v>13</v>
      </c>
      <c r="E340" s="0" t="n">
        <v>5</v>
      </c>
      <c r="F340" s="4" t="n">
        <v>389</v>
      </c>
      <c r="G340" s="4" t="n">
        <f aca="false">E340*F340</f>
        <v>1945</v>
      </c>
      <c r="H340" s="0" t="str">
        <f aca="false">TEXT(A340,"mmm-yy")</f>
        <v>May-26</v>
      </c>
    </row>
    <row r="341" customFormat="false" ht="15" hidden="false" customHeight="false" outlineLevel="0" collapsed="false">
      <c r="A341" s="2" t="n">
        <v>46153</v>
      </c>
      <c r="B341" s="3" t="s">
        <v>21</v>
      </c>
      <c r="C341" s="3" t="s">
        <v>12</v>
      </c>
      <c r="D341" s="3" t="s">
        <v>13</v>
      </c>
      <c r="E341" s="0" t="n">
        <v>3</v>
      </c>
      <c r="F341" s="4" t="n">
        <v>407</v>
      </c>
      <c r="G341" s="4" t="n">
        <f aca="false">E341*F341</f>
        <v>1221</v>
      </c>
      <c r="H341" s="0" t="str">
        <f aca="false">TEXT(A341,"mmm-yy")</f>
        <v>May-26</v>
      </c>
    </row>
    <row r="342" customFormat="false" ht="15" hidden="false" customHeight="false" outlineLevel="0" collapsed="false">
      <c r="A342" s="2" t="n">
        <v>46154</v>
      </c>
      <c r="B342" s="3" t="s">
        <v>22</v>
      </c>
      <c r="C342" s="3" t="s">
        <v>9</v>
      </c>
      <c r="D342" s="3" t="s">
        <v>23</v>
      </c>
      <c r="E342" s="0" t="n">
        <v>4</v>
      </c>
      <c r="F342" s="4" t="n">
        <v>3531</v>
      </c>
      <c r="G342" s="4" t="n">
        <f aca="false">E342*F342</f>
        <v>14124</v>
      </c>
      <c r="H342" s="0" t="str">
        <f aca="false">TEXT(A342,"mmm-yy")</f>
        <v>May-26</v>
      </c>
    </row>
    <row r="343" customFormat="false" ht="15" hidden="false" customHeight="false" outlineLevel="0" collapsed="false">
      <c r="A343" s="2" t="n">
        <v>46154</v>
      </c>
      <c r="B343" s="3" t="s">
        <v>29</v>
      </c>
      <c r="C343" s="3" t="s">
        <v>17</v>
      </c>
      <c r="D343" s="3" t="s">
        <v>10</v>
      </c>
      <c r="E343" s="0" t="n">
        <v>5</v>
      </c>
      <c r="F343" s="4" t="n">
        <v>2381</v>
      </c>
      <c r="G343" s="4" t="n">
        <f aca="false">E343*F343</f>
        <v>11905</v>
      </c>
      <c r="H343" s="0" t="str">
        <f aca="false">TEXT(A343,"mmm-yy")</f>
        <v>May-26</v>
      </c>
    </row>
    <row r="344" customFormat="false" ht="15" hidden="false" customHeight="false" outlineLevel="0" collapsed="false">
      <c r="A344" s="2" t="n">
        <v>46154</v>
      </c>
      <c r="B344" s="3" t="s">
        <v>25</v>
      </c>
      <c r="C344" s="3" t="s">
        <v>17</v>
      </c>
      <c r="D344" s="3" t="s">
        <v>23</v>
      </c>
      <c r="E344" s="0" t="n">
        <v>2</v>
      </c>
      <c r="F344" s="4" t="n">
        <v>2612</v>
      </c>
      <c r="G344" s="4" t="n">
        <f aca="false">E344*F344</f>
        <v>5224</v>
      </c>
      <c r="H344" s="0" t="str">
        <f aca="false">TEXT(A344,"mmm-yy")</f>
        <v>May-26</v>
      </c>
    </row>
    <row r="345" customFormat="false" ht="15" hidden="false" customHeight="false" outlineLevel="0" collapsed="false">
      <c r="A345" s="2" t="n">
        <v>46155</v>
      </c>
      <c r="B345" s="3" t="s">
        <v>26</v>
      </c>
      <c r="C345" s="3" t="s">
        <v>15</v>
      </c>
      <c r="D345" s="3" t="s">
        <v>10</v>
      </c>
      <c r="E345" s="0" t="n">
        <v>4</v>
      </c>
      <c r="F345" s="4" t="n">
        <v>360</v>
      </c>
      <c r="G345" s="4" t="n">
        <f aca="false">E345*F345</f>
        <v>1440</v>
      </c>
      <c r="H345" s="0" t="str">
        <f aca="false">TEXT(A345,"mmm-yy")</f>
        <v>May-26</v>
      </c>
    </row>
    <row r="346" customFormat="false" ht="15" hidden="false" customHeight="false" outlineLevel="0" collapsed="false">
      <c r="A346" s="2" t="n">
        <v>46155</v>
      </c>
      <c r="B346" s="3" t="s">
        <v>14</v>
      </c>
      <c r="C346" s="3" t="s">
        <v>15</v>
      </c>
      <c r="D346" s="3" t="s">
        <v>23</v>
      </c>
      <c r="E346" s="0" t="n">
        <v>1</v>
      </c>
      <c r="F346" s="4" t="n">
        <v>826</v>
      </c>
      <c r="G346" s="4" t="n">
        <f aca="false">E346*F346</f>
        <v>826</v>
      </c>
      <c r="H346" s="0" t="str">
        <f aca="false">TEXT(A346,"mmm-yy")</f>
        <v>May-26</v>
      </c>
    </row>
    <row r="347" customFormat="false" ht="15" hidden="false" customHeight="false" outlineLevel="0" collapsed="false">
      <c r="A347" s="2" t="n">
        <v>46155</v>
      </c>
      <c r="B347" s="3" t="s">
        <v>24</v>
      </c>
      <c r="C347" s="3" t="s">
        <v>20</v>
      </c>
      <c r="D347" s="3" t="s">
        <v>10</v>
      </c>
      <c r="E347" s="0" t="n">
        <v>3</v>
      </c>
      <c r="F347" s="4" t="n">
        <v>587</v>
      </c>
      <c r="G347" s="4" t="n">
        <f aca="false">E347*F347</f>
        <v>1761</v>
      </c>
      <c r="H347" s="0" t="str">
        <f aca="false">TEXT(A347,"mmm-yy")</f>
        <v>May-26</v>
      </c>
    </row>
    <row r="348" customFormat="false" ht="15" hidden="false" customHeight="false" outlineLevel="0" collapsed="false">
      <c r="A348" s="2" t="n">
        <v>46156</v>
      </c>
      <c r="B348" s="3" t="s">
        <v>26</v>
      </c>
      <c r="C348" s="3" t="s">
        <v>15</v>
      </c>
      <c r="D348" s="3" t="s">
        <v>23</v>
      </c>
      <c r="E348" s="0" t="n">
        <v>5</v>
      </c>
      <c r="F348" s="4" t="n">
        <v>359</v>
      </c>
      <c r="G348" s="4" t="n">
        <f aca="false">E348*F348</f>
        <v>1795</v>
      </c>
      <c r="H348" s="0" t="str">
        <f aca="false">TEXT(A348,"mmm-yy")</f>
        <v>May-26</v>
      </c>
    </row>
    <row r="349" customFormat="false" ht="15" hidden="false" customHeight="false" outlineLevel="0" collapsed="false">
      <c r="A349" s="2" t="n">
        <v>46157</v>
      </c>
      <c r="B349" s="3" t="s">
        <v>25</v>
      </c>
      <c r="C349" s="3" t="s">
        <v>17</v>
      </c>
      <c r="D349" s="3" t="s">
        <v>23</v>
      </c>
      <c r="E349" s="0" t="n">
        <v>2</v>
      </c>
      <c r="F349" s="4" t="n">
        <v>2713</v>
      </c>
      <c r="G349" s="4" t="n">
        <f aca="false">E349*F349</f>
        <v>5426</v>
      </c>
      <c r="H349" s="0" t="str">
        <f aca="false">TEXT(A349,"mmm-yy")</f>
        <v>May-26</v>
      </c>
    </row>
    <row r="350" customFormat="false" ht="15" hidden="false" customHeight="false" outlineLevel="0" collapsed="false">
      <c r="A350" s="2" t="n">
        <v>46158</v>
      </c>
      <c r="B350" s="3" t="s">
        <v>16</v>
      </c>
      <c r="C350" s="3" t="s">
        <v>17</v>
      </c>
      <c r="D350" s="3" t="s">
        <v>10</v>
      </c>
      <c r="E350" s="0" t="n">
        <v>2</v>
      </c>
      <c r="F350" s="4" t="n">
        <v>477</v>
      </c>
      <c r="G350" s="4" t="n">
        <f aca="false">E350*F350</f>
        <v>954</v>
      </c>
      <c r="H350" s="0" t="str">
        <f aca="false">TEXT(A350,"mmm-yy")</f>
        <v>May-26</v>
      </c>
    </row>
    <row r="351" customFormat="false" ht="15" hidden="false" customHeight="false" outlineLevel="0" collapsed="false">
      <c r="A351" s="2" t="n">
        <v>46158</v>
      </c>
      <c r="B351" s="3" t="s">
        <v>22</v>
      </c>
      <c r="C351" s="3" t="s">
        <v>9</v>
      </c>
      <c r="D351" s="3" t="s">
        <v>13</v>
      </c>
      <c r="E351" s="0" t="n">
        <v>1</v>
      </c>
      <c r="F351" s="4" t="n">
        <v>3385</v>
      </c>
      <c r="G351" s="4" t="n">
        <f aca="false">E351*F351</f>
        <v>3385</v>
      </c>
      <c r="H351" s="0" t="str">
        <f aca="false">TEXT(A351,"mmm-yy")</f>
        <v>May-26</v>
      </c>
    </row>
    <row r="352" customFormat="false" ht="15" hidden="false" customHeight="false" outlineLevel="0" collapsed="false">
      <c r="A352" s="2" t="n">
        <v>46158</v>
      </c>
      <c r="B352" s="3" t="s">
        <v>26</v>
      </c>
      <c r="C352" s="3" t="s">
        <v>15</v>
      </c>
      <c r="D352" s="3" t="s">
        <v>10</v>
      </c>
      <c r="E352" s="0" t="n">
        <v>5</v>
      </c>
      <c r="F352" s="4" t="n">
        <v>340</v>
      </c>
      <c r="G352" s="4" t="n">
        <f aca="false">E352*F352</f>
        <v>1700</v>
      </c>
      <c r="H352" s="0" t="str">
        <f aca="false">TEXT(A352,"mmm-yy")</f>
        <v>May-26</v>
      </c>
    </row>
    <row r="353" customFormat="false" ht="15" hidden="false" customHeight="false" outlineLevel="0" collapsed="false">
      <c r="A353" s="2" t="n">
        <v>46158</v>
      </c>
      <c r="B353" s="3" t="s">
        <v>14</v>
      </c>
      <c r="C353" s="3" t="s">
        <v>15</v>
      </c>
      <c r="D353" s="3" t="s">
        <v>10</v>
      </c>
      <c r="E353" s="0" t="n">
        <v>2</v>
      </c>
      <c r="F353" s="4" t="n">
        <v>783</v>
      </c>
      <c r="G353" s="4" t="n">
        <f aca="false">E353*F353</f>
        <v>1566</v>
      </c>
      <c r="H353" s="0" t="str">
        <f aca="false">TEXT(A353,"mmm-yy")</f>
        <v>May-26</v>
      </c>
    </row>
    <row r="354" customFormat="false" ht="15" hidden="false" customHeight="false" outlineLevel="0" collapsed="false">
      <c r="A354" s="2" t="n">
        <v>46159</v>
      </c>
      <c r="B354" s="3" t="s">
        <v>11</v>
      </c>
      <c r="C354" s="3" t="s">
        <v>12</v>
      </c>
      <c r="D354" s="3" t="s">
        <v>23</v>
      </c>
      <c r="E354" s="0" t="n">
        <v>4</v>
      </c>
      <c r="F354" s="4" t="n">
        <v>643</v>
      </c>
      <c r="G354" s="4" t="n">
        <f aca="false">E354*F354</f>
        <v>2572</v>
      </c>
      <c r="H354" s="0" t="str">
        <f aca="false">TEXT(A354,"mmm-yy")</f>
        <v>May-26</v>
      </c>
    </row>
    <row r="355" customFormat="false" ht="15" hidden="false" customHeight="false" outlineLevel="0" collapsed="false">
      <c r="A355" s="2" t="n">
        <v>46159</v>
      </c>
      <c r="B355" s="3" t="s">
        <v>26</v>
      </c>
      <c r="C355" s="3" t="s">
        <v>15</v>
      </c>
      <c r="D355" s="3" t="s">
        <v>23</v>
      </c>
      <c r="E355" s="0" t="n">
        <v>4</v>
      </c>
      <c r="F355" s="4" t="n">
        <v>361</v>
      </c>
      <c r="G355" s="4" t="n">
        <f aca="false">E355*F355</f>
        <v>1444</v>
      </c>
      <c r="H355" s="0" t="str">
        <f aca="false">TEXT(A355,"mmm-yy")</f>
        <v>May-26</v>
      </c>
    </row>
    <row r="356" customFormat="false" ht="15" hidden="false" customHeight="false" outlineLevel="0" collapsed="false">
      <c r="A356" s="2" t="n">
        <v>46160</v>
      </c>
      <c r="B356" s="3" t="s">
        <v>16</v>
      </c>
      <c r="C356" s="3" t="s">
        <v>17</v>
      </c>
      <c r="D356" s="3" t="s">
        <v>18</v>
      </c>
      <c r="E356" s="0" t="n">
        <v>3</v>
      </c>
      <c r="F356" s="4" t="n">
        <v>502</v>
      </c>
      <c r="G356" s="4" t="n">
        <f aca="false">E356*F356</f>
        <v>1506</v>
      </c>
      <c r="H356" s="0" t="str">
        <f aca="false">TEXT(A356,"mmm-yy")</f>
        <v>May-26</v>
      </c>
    </row>
    <row r="357" customFormat="false" ht="15" hidden="false" customHeight="false" outlineLevel="0" collapsed="false">
      <c r="A357" s="2" t="n">
        <v>46160</v>
      </c>
      <c r="B357" s="3" t="s">
        <v>16</v>
      </c>
      <c r="C357" s="3" t="s">
        <v>17</v>
      </c>
      <c r="D357" s="3" t="s">
        <v>18</v>
      </c>
      <c r="E357" s="0" t="n">
        <v>5</v>
      </c>
      <c r="F357" s="4" t="n">
        <v>488</v>
      </c>
      <c r="G357" s="4" t="n">
        <f aca="false">E357*F357</f>
        <v>2440</v>
      </c>
      <c r="H357" s="0" t="str">
        <f aca="false">TEXT(A357,"mmm-yy")</f>
        <v>May-26</v>
      </c>
    </row>
    <row r="358" customFormat="false" ht="15" hidden="false" customHeight="false" outlineLevel="0" collapsed="false">
      <c r="A358" s="2" t="n">
        <v>46160</v>
      </c>
      <c r="B358" s="3" t="s">
        <v>19</v>
      </c>
      <c r="C358" s="3" t="s">
        <v>20</v>
      </c>
      <c r="D358" s="3" t="s">
        <v>18</v>
      </c>
      <c r="E358" s="0" t="n">
        <v>4</v>
      </c>
      <c r="F358" s="4" t="n">
        <v>938</v>
      </c>
      <c r="G358" s="4" t="n">
        <f aca="false">E358*F358</f>
        <v>3752</v>
      </c>
      <c r="H358" s="0" t="str">
        <f aca="false">TEXT(A358,"mmm-yy")</f>
        <v>May-26</v>
      </c>
    </row>
    <row r="359" customFormat="false" ht="15" hidden="false" customHeight="false" outlineLevel="0" collapsed="false">
      <c r="A359" s="2" t="n">
        <v>46160</v>
      </c>
      <c r="B359" s="3" t="s">
        <v>27</v>
      </c>
      <c r="C359" s="3" t="s">
        <v>9</v>
      </c>
      <c r="D359" s="3" t="s">
        <v>10</v>
      </c>
      <c r="E359" s="0" t="n">
        <v>5</v>
      </c>
      <c r="F359" s="4" t="n">
        <v>1575</v>
      </c>
      <c r="G359" s="4" t="n">
        <f aca="false">E359*F359</f>
        <v>7875</v>
      </c>
      <c r="H359" s="0" t="str">
        <f aca="false">TEXT(A359,"mmm-yy")</f>
        <v>May-26</v>
      </c>
    </row>
    <row r="360" customFormat="false" ht="15" hidden="false" customHeight="false" outlineLevel="0" collapsed="false">
      <c r="A360" s="2" t="n">
        <v>46161</v>
      </c>
      <c r="B360" s="3" t="s">
        <v>8</v>
      </c>
      <c r="C360" s="3" t="s">
        <v>9</v>
      </c>
      <c r="D360" s="3" t="s">
        <v>13</v>
      </c>
      <c r="E360" s="0" t="n">
        <v>3</v>
      </c>
      <c r="F360" s="4" t="n">
        <v>1942</v>
      </c>
      <c r="G360" s="4" t="n">
        <f aca="false">E360*F360</f>
        <v>5826</v>
      </c>
      <c r="H360" s="0" t="str">
        <f aca="false">TEXT(A360,"mmm-yy")</f>
        <v>May-26</v>
      </c>
    </row>
    <row r="361" customFormat="false" ht="15" hidden="false" customHeight="false" outlineLevel="0" collapsed="false">
      <c r="A361" s="2" t="n">
        <v>46161</v>
      </c>
      <c r="B361" s="3" t="s">
        <v>11</v>
      </c>
      <c r="C361" s="3" t="s">
        <v>12</v>
      </c>
      <c r="D361" s="3" t="s">
        <v>23</v>
      </c>
      <c r="E361" s="0" t="n">
        <v>1</v>
      </c>
      <c r="F361" s="4" t="n">
        <v>685</v>
      </c>
      <c r="G361" s="4" t="n">
        <f aca="false">E361*F361</f>
        <v>685</v>
      </c>
      <c r="H361" s="0" t="str">
        <f aca="false">TEXT(A361,"mmm-yy")</f>
        <v>May-26</v>
      </c>
    </row>
    <row r="362" customFormat="false" ht="15" hidden="false" customHeight="false" outlineLevel="0" collapsed="false">
      <c r="A362" s="2" t="n">
        <v>46161</v>
      </c>
      <c r="B362" s="3" t="s">
        <v>22</v>
      </c>
      <c r="C362" s="3" t="s">
        <v>9</v>
      </c>
      <c r="D362" s="3" t="s">
        <v>18</v>
      </c>
      <c r="E362" s="0" t="n">
        <v>3</v>
      </c>
      <c r="F362" s="4" t="n">
        <v>3646</v>
      </c>
      <c r="G362" s="4" t="n">
        <f aca="false">E362*F362</f>
        <v>10938</v>
      </c>
      <c r="H362" s="0" t="str">
        <f aca="false">TEXT(A362,"mmm-yy")</f>
        <v>May-26</v>
      </c>
    </row>
    <row r="363" customFormat="false" ht="15" hidden="false" customHeight="false" outlineLevel="0" collapsed="false">
      <c r="A363" s="2" t="n">
        <v>46162</v>
      </c>
      <c r="B363" s="3" t="s">
        <v>28</v>
      </c>
      <c r="C363" s="3" t="s">
        <v>20</v>
      </c>
      <c r="D363" s="3" t="s">
        <v>18</v>
      </c>
      <c r="E363" s="0" t="n">
        <v>2</v>
      </c>
      <c r="F363" s="4" t="n">
        <v>1588</v>
      </c>
      <c r="G363" s="4" t="n">
        <f aca="false">E363*F363</f>
        <v>3176</v>
      </c>
      <c r="H363" s="0" t="str">
        <f aca="false">TEXT(A363,"mmm-yy")</f>
        <v>May-26</v>
      </c>
    </row>
    <row r="364" customFormat="false" ht="15" hidden="false" customHeight="false" outlineLevel="0" collapsed="false">
      <c r="A364" s="2" t="n">
        <v>46162</v>
      </c>
      <c r="B364" s="3" t="s">
        <v>25</v>
      </c>
      <c r="C364" s="3" t="s">
        <v>17</v>
      </c>
      <c r="D364" s="3" t="s">
        <v>13</v>
      </c>
      <c r="E364" s="0" t="n">
        <v>4</v>
      </c>
      <c r="F364" s="4" t="n">
        <v>2992</v>
      </c>
      <c r="G364" s="4" t="n">
        <f aca="false">E364*F364</f>
        <v>11968</v>
      </c>
      <c r="H364" s="0" t="str">
        <f aca="false">TEXT(A364,"mmm-yy")</f>
        <v>May-26</v>
      </c>
    </row>
    <row r="365" customFormat="false" ht="15" hidden="false" customHeight="false" outlineLevel="0" collapsed="false">
      <c r="A365" s="2" t="n">
        <v>46163</v>
      </c>
      <c r="B365" s="3" t="s">
        <v>24</v>
      </c>
      <c r="C365" s="3" t="s">
        <v>20</v>
      </c>
      <c r="D365" s="3" t="s">
        <v>13</v>
      </c>
      <c r="E365" s="0" t="n">
        <v>4</v>
      </c>
      <c r="F365" s="4" t="n">
        <v>587</v>
      </c>
      <c r="G365" s="4" t="n">
        <f aca="false">E365*F365</f>
        <v>2348</v>
      </c>
      <c r="H365" s="0" t="str">
        <f aca="false">TEXT(A365,"mmm-yy")</f>
        <v>May-26</v>
      </c>
    </row>
    <row r="366" customFormat="false" ht="15" hidden="false" customHeight="false" outlineLevel="0" collapsed="false">
      <c r="A366" s="2" t="n">
        <v>46163</v>
      </c>
      <c r="B366" s="3" t="s">
        <v>25</v>
      </c>
      <c r="C366" s="3" t="s">
        <v>17</v>
      </c>
      <c r="D366" s="3" t="s">
        <v>13</v>
      </c>
      <c r="E366" s="0" t="n">
        <v>3</v>
      </c>
      <c r="F366" s="4" t="n">
        <v>2676</v>
      </c>
      <c r="G366" s="4" t="n">
        <f aca="false">E366*F366</f>
        <v>8028</v>
      </c>
      <c r="H366" s="0" t="str">
        <f aca="false">TEXT(A366,"mmm-yy")</f>
        <v>May-26</v>
      </c>
    </row>
    <row r="367" customFormat="false" ht="15" hidden="false" customHeight="false" outlineLevel="0" collapsed="false">
      <c r="A367" s="2" t="n">
        <v>46163</v>
      </c>
      <c r="B367" s="3" t="s">
        <v>11</v>
      </c>
      <c r="C367" s="3" t="s">
        <v>12</v>
      </c>
      <c r="D367" s="3" t="s">
        <v>10</v>
      </c>
      <c r="E367" s="0" t="n">
        <v>2</v>
      </c>
      <c r="F367" s="4" t="n">
        <v>665</v>
      </c>
      <c r="G367" s="4" t="n">
        <f aca="false">E367*F367</f>
        <v>1330</v>
      </c>
      <c r="H367" s="0" t="str">
        <f aca="false">TEXT(A367,"mmm-yy")</f>
        <v>May-26</v>
      </c>
    </row>
    <row r="368" customFormat="false" ht="15" hidden="false" customHeight="false" outlineLevel="0" collapsed="false">
      <c r="A368" s="2" t="n">
        <v>46163</v>
      </c>
      <c r="B368" s="3" t="s">
        <v>8</v>
      </c>
      <c r="C368" s="3" t="s">
        <v>9</v>
      </c>
      <c r="D368" s="3" t="s">
        <v>10</v>
      </c>
      <c r="E368" s="0" t="n">
        <v>4</v>
      </c>
      <c r="F368" s="4" t="n">
        <v>1834</v>
      </c>
      <c r="G368" s="4" t="n">
        <f aca="false">E368*F368</f>
        <v>7336</v>
      </c>
      <c r="H368" s="0" t="str">
        <f aca="false">TEXT(A368,"mmm-yy")</f>
        <v>May-26</v>
      </c>
    </row>
    <row r="369" customFormat="false" ht="15" hidden="false" customHeight="false" outlineLevel="0" collapsed="false">
      <c r="A369" s="2" t="n">
        <v>46164</v>
      </c>
      <c r="B369" s="3" t="s">
        <v>19</v>
      </c>
      <c r="C369" s="3" t="s">
        <v>20</v>
      </c>
      <c r="D369" s="3" t="s">
        <v>13</v>
      </c>
      <c r="E369" s="0" t="n">
        <v>1</v>
      </c>
      <c r="F369" s="4" t="n">
        <v>916</v>
      </c>
      <c r="G369" s="4" t="n">
        <f aca="false">E369*F369</f>
        <v>916</v>
      </c>
      <c r="H369" s="0" t="str">
        <f aca="false">TEXT(A369,"mmm-yy")</f>
        <v>May-26</v>
      </c>
    </row>
    <row r="370" customFormat="false" ht="15" hidden="false" customHeight="false" outlineLevel="0" collapsed="false">
      <c r="A370" s="2" t="n">
        <v>46164</v>
      </c>
      <c r="B370" s="3" t="s">
        <v>29</v>
      </c>
      <c r="C370" s="3" t="s">
        <v>17</v>
      </c>
      <c r="D370" s="3" t="s">
        <v>18</v>
      </c>
      <c r="E370" s="0" t="n">
        <v>2</v>
      </c>
      <c r="F370" s="4" t="n">
        <v>2194</v>
      </c>
      <c r="G370" s="4" t="n">
        <f aca="false">E370*F370</f>
        <v>4388</v>
      </c>
      <c r="H370" s="0" t="str">
        <f aca="false">TEXT(A370,"mmm-yy")</f>
        <v>May-26</v>
      </c>
    </row>
    <row r="371" customFormat="false" ht="15" hidden="false" customHeight="false" outlineLevel="0" collapsed="false">
      <c r="A371" s="2" t="n">
        <v>46164</v>
      </c>
      <c r="B371" s="3" t="s">
        <v>22</v>
      </c>
      <c r="C371" s="3" t="s">
        <v>9</v>
      </c>
      <c r="D371" s="3" t="s">
        <v>23</v>
      </c>
      <c r="E371" s="0" t="n">
        <v>2</v>
      </c>
      <c r="F371" s="4" t="n">
        <v>3654</v>
      </c>
      <c r="G371" s="4" t="n">
        <f aca="false">E371*F371</f>
        <v>7308</v>
      </c>
      <c r="H371" s="0" t="str">
        <f aca="false">TEXT(A371,"mmm-yy")</f>
        <v>May-26</v>
      </c>
    </row>
    <row r="372" customFormat="false" ht="15" hidden="false" customHeight="false" outlineLevel="0" collapsed="false">
      <c r="A372" s="2" t="n">
        <v>46164</v>
      </c>
      <c r="B372" s="3" t="s">
        <v>22</v>
      </c>
      <c r="C372" s="3" t="s">
        <v>9</v>
      </c>
      <c r="D372" s="3" t="s">
        <v>18</v>
      </c>
      <c r="E372" s="0" t="n">
        <v>4</v>
      </c>
      <c r="F372" s="4" t="n">
        <v>3246</v>
      </c>
      <c r="G372" s="4" t="n">
        <f aca="false">E372*F372</f>
        <v>12984</v>
      </c>
      <c r="H372" s="0" t="str">
        <f aca="false">TEXT(A372,"mmm-yy")</f>
        <v>May-26</v>
      </c>
    </row>
    <row r="373" customFormat="false" ht="15" hidden="false" customHeight="false" outlineLevel="0" collapsed="false">
      <c r="A373" s="2" t="n">
        <v>46165</v>
      </c>
      <c r="B373" s="3" t="s">
        <v>22</v>
      </c>
      <c r="C373" s="3" t="s">
        <v>9</v>
      </c>
      <c r="D373" s="3" t="s">
        <v>13</v>
      </c>
      <c r="E373" s="0" t="n">
        <v>4</v>
      </c>
      <c r="F373" s="4" t="n">
        <v>3687</v>
      </c>
      <c r="G373" s="4" t="n">
        <f aca="false">E373*F373</f>
        <v>14748</v>
      </c>
      <c r="H373" s="0" t="str">
        <f aca="false">TEXT(A373,"mmm-yy")</f>
        <v>May-26</v>
      </c>
    </row>
    <row r="374" customFormat="false" ht="15" hidden="false" customHeight="false" outlineLevel="0" collapsed="false">
      <c r="A374" s="2" t="n">
        <v>46166</v>
      </c>
      <c r="B374" s="3" t="s">
        <v>11</v>
      </c>
      <c r="C374" s="3" t="s">
        <v>12</v>
      </c>
      <c r="D374" s="3" t="s">
        <v>13</v>
      </c>
      <c r="E374" s="0" t="n">
        <v>4</v>
      </c>
      <c r="F374" s="4" t="n">
        <v>612</v>
      </c>
      <c r="G374" s="4" t="n">
        <f aca="false">E374*F374</f>
        <v>2448</v>
      </c>
      <c r="H374" s="0" t="str">
        <f aca="false">TEXT(A374,"mmm-yy")</f>
        <v>May-26</v>
      </c>
    </row>
    <row r="375" customFormat="false" ht="15" hidden="false" customHeight="false" outlineLevel="0" collapsed="false">
      <c r="A375" s="2" t="n">
        <v>46166</v>
      </c>
      <c r="B375" s="3" t="s">
        <v>14</v>
      </c>
      <c r="C375" s="3" t="s">
        <v>15</v>
      </c>
      <c r="D375" s="3" t="s">
        <v>18</v>
      </c>
      <c r="E375" s="0" t="n">
        <v>5</v>
      </c>
      <c r="F375" s="4" t="n">
        <v>780</v>
      </c>
      <c r="G375" s="4" t="n">
        <f aca="false">E375*F375</f>
        <v>3900</v>
      </c>
      <c r="H375" s="0" t="str">
        <f aca="false">TEXT(A375,"mmm-yy")</f>
        <v>May-26</v>
      </c>
    </row>
    <row r="376" customFormat="false" ht="15" hidden="false" customHeight="false" outlineLevel="0" collapsed="false">
      <c r="A376" s="2" t="n">
        <v>46167</v>
      </c>
      <c r="B376" s="3" t="s">
        <v>26</v>
      </c>
      <c r="C376" s="3" t="s">
        <v>15</v>
      </c>
      <c r="D376" s="3" t="s">
        <v>23</v>
      </c>
      <c r="E376" s="0" t="n">
        <v>5</v>
      </c>
      <c r="F376" s="4" t="n">
        <v>358</v>
      </c>
      <c r="G376" s="4" t="n">
        <f aca="false">E376*F376</f>
        <v>1790</v>
      </c>
      <c r="H376" s="0" t="str">
        <f aca="false">TEXT(A376,"mmm-yy")</f>
        <v>May-26</v>
      </c>
    </row>
    <row r="377" customFormat="false" ht="15" hidden="false" customHeight="false" outlineLevel="0" collapsed="false">
      <c r="A377" s="2" t="n">
        <v>46167</v>
      </c>
      <c r="B377" s="3" t="s">
        <v>22</v>
      </c>
      <c r="C377" s="3" t="s">
        <v>9</v>
      </c>
      <c r="D377" s="3" t="s">
        <v>13</v>
      </c>
      <c r="E377" s="0" t="n">
        <v>5</v>
      </c>
      <c r="F377" s="4" t="n">
        <v>3753</v>
      </c>
      <c r="G377" s="4" t="n">
        <f aca="false">E377*F377</f>
        <v>18765</v>
      </c>
      <c r="H377" s="0" t="str">
        <f aca="false">TEXT(A377,"mmm-yy")</f>
        <v>May-26</v>
      </c>
    </row>
    <row r="378" customFormat="false" ht="15" hidden="false" customHeight="false" outlineLevel="0" collapsed="false">
      <c r="A378" s="2" t="n">
        <v>46168</v>
      </c>
      <c r="B378" s="3" t="s">
        <v>19</v>
      </c>
      <c r="C378" s="3" t="s">
        <v>20</v>
      </c>
      <c r="D378" s="3" t="s">
        <v>23</v>
      </c>
      <c r="E378" s="0" t="n">
        <v>4</v>
      </c>
      <c r="F378" s="4" t="n">
        <v>833</v>
      </c>
      <c r="G378" s="4" t="n">
        <f aca="false">E378*F378</f>
        <v>3332</v>
      </c>
      <c r="H378" s="0" t="str">
        <f aca="false">TEXT(A378,"mmm-yy")</f>
        <v>May-26</v>
      </c>
    </row>
    <row r="379" customFormat="false" ht="15" hidden="false" customHeight="false" outlineLevel="0" collapsed="false">
      <c r="A379" s="2" t="n">
        <v>46168</v>
      </c>
      <c r="B379" s="3" t="s">
        <v>29</v>
      </c>
      <c r="C379" s="3" t="s">
        <v>17</v>
      </c>
      <c r="D379" s="3" t="s">
        <v>13</v>
      </c>
      <c r="E379" s="0" t="n">
        <v>3</v>
      </c>
      <c r="F379" s="4" t="n">
        <v>2390</v>
      </c>
      <c r="G379" s="4" t="n">
        <f aca="false">E379*F379</f>
        <v>7170</v>
      </c>
      <c r="H379" s="0" t="str">
        <f aca="false">TEXT(A379,"mmm-yy")</f>
        <v>May-26</v>
      </c>
    </row>
    <row r="380" customFormat="false" ht="15" hidden="false" customHeight="false" outlineLevel="0" collapsed="false">
      <c r="A380" s="2" t="n">
        <v>46168</v>
      </c>
      <c r="B380" s="3" t="s">
        <v>25</v>
      </c>
      <c r="C380" s="3" t="s">
        <v>17</v>
      </c>
      <c r="D380" s="3" t="s">
        <v>23</v>
      </c>
      <c r="E380" s="0" t="n">
        <v>1</v>
      </c>
      <c r="F380" s="4" t="n">
        <v>2683</v>
      </c>
      <c r="G380" s="4" t="n">
        <f aca="false">E380*F380</f>
        <v>2683</v>
      </c>
      <c r="H380" s="0" t="str">
        <f aca="false">TEXT(A380,"mmm-yy")</f>
        <v>May-26</v>
      </c>
    </row>
    <row r="381" customFormat="false" ht="15" hidden="false" customHeight="false" outlineLevel="0" collapsed="false">
      <c r="A381" s="2" t="n">
        <v>46168</v>
      </c>
      <c r="B381" s="3" t="s">
        <v>27</v>
      </c>
      <c r="C381" s="3" t="s">
        <v>9</v>
      </c>
      <c r="D381" s="3" t="s">
        <v>23</v>
      </c>
      <c r="E381" s="0" t="n">
        <v>5</v>
      </c>
      <c r="F381" s="4" t="n">
        <v>1390</v>
      </c>
      <c r="G381" s="4" t="n">
        <f aca="false">E381*F381</f>
        <v>6950</v>
      </c>
      <c r="H381" s="0" t="str">
        <f aca="false">TEXT(A381,"mmm-yy")</f>
        <v>May-26</v>
      </c>
    </row>
    <row r="382" customFormat="false" ht="15" hidden="false" customHeight="false" outlineLevel="0" collapsed="false">
      <c r="A382" s="2" t="n">
        <v>46169</v>
      </c>
      <c r="B382" s="3" t="s">
        <v>21</v>
      </c>
      <c r="C382" s="3" t="s">
        <v>12</v>
      </c>
      <c r="D382" s="3" t="s">
        <v>10</v>
      </c>
      <c r="E382" s="0" t="n">
        <v>4</v>
      </c>
      <c r="F382" s="4" t="n">
        <v>411</v>
      </c>
      <c r="G382" s="4" t="n">
        <f aca="false">E382*F382</f>
        <v>1644</v>
      </c>
      <c r="H382" s="0" t="str">
        <f aca="false">TEXT(A382,"mmm-yy")</f>
        <v>May-26</v>
      </c>
    </row>
    <row r="383" customFormat="false" ht="15" hidden="false" customHeight="false" outlineLevel="0" collapsed="false">
      <c r="A383" s="2" t="n">
        <v>46169</v>
      </c>
      <c r="B383" s="3" t="s">
        <v>21</v>
      </c>
      <c r="C383" s="3" t="s">
        <v>12</v>
      </c>
      <c r="D383" s="3" t="s">
        <v>13</v>
      </c>
      <c r="E383" s="0" t="n">
        <v>4</v>
      </c>
      <c r="F383" s="4" t="n">
        <v>376</v>
      </c>
      <c r="G383" s="4" t="n">
        <f aca="false">E383*F383</f>
        <v>1504</v>
      </c>
      <c r="H383" s="0" t="str">
        <f aca="false">TEXT(A383,"mmm-yy")</f>
        <v>May-26</v>
      </c>
    </row>
    <row r="384" customFormat="false" ht="15" hidden="false" customHeight="false" outlineLevel="0" collapsed="false">
      <c r="A384" s="2" t="n">
        <v>46170</v>
      </c>
      <c r="B384" s="3" t="s">
        <v>16</v>
      </c>
      <c r="C384" s="3" t="s">
        <v>17</v>
      </c>
      <c r="D384" s="3" t="s">
        <v>13</v>
      </c>
      <c r="E384" s="0" t="n">
        <v>2</v>
      </c>
      <c r="F384" s="4" t="n">
        <v>463</v>
      </c>
      <c r="G384" s="4" t="n">
        <f aca="false">E384*F384</f>
        <v>926</v>
      </c>
      <c r="H384" s="0" t="str">
        <f aca="false">TEXT(A384,"mmm-yy")</f>
        <v>May-26</v>
      </c>
    </row>
    <row r="385" customFormat="false" ht="15" hidden="false" customHeight="false" outlineLevel="0" collapsed="false">
      <c r="A385" s="2" t="n">
        <v>46170</v>
      </c>
      <c r="B385" s="3" t="s">
        <v>25</v>
      </c>
      <c r="C385" s="3" t="s">
        <v>17</v>
      </c>
      <c r="D385" s="3" t="s">
        <v>18</v>
      </c>
      <c r="E385" s="0" t="n">
        <v>5</v>
      </c>
      <c r="F385" s="4" t="n">
        <v>2993</v>
      </c>
      <c r="G385" s="4" t="n">
        <f aca="false">E385*F385</f>
        <v>14965</v>
      </c>
      <c r="H385" s="0" t="str">
        <f aca="false">TEXT(A385,"mmm-yy")</f>
        <v>May-26</v>
      </c>
    </row>
    <row r="386" customFormat="false" ht="15" hidden="false" customHeight="false" outlineLevel="0" collapsed="false">
      <c r="A386" s="2" t="n">
        <v>46170</v>
      </c>
      <c r="B386" s="3" t="s">
        <v>24</v>
      </c>
      <c r="C386" s="3" t="s">
        <v>20</v>
      </c>
      <c r="D386" s="3" t="s">
        <v>10</v>
      </c>
      <c r="E386" s="0" t="n">
        <v>1</v>
      </c>
      <c r="F386" s="4" t="n">
        <v>596</v>
      </c>
      <c r="G386" s="4" t="n">
        <f aca="false">E386*F386</f>
        <v>596</v>
      </c>
      <c r="H386" s="0" t="str">
        <f aca="false">TEXT(A386,"mmm-yy")</f>
        <v>May-26</v>
      </c>
    </row>
    <row r="387" customFormat="false" ht="15" hidden="false" customHeight="false" outlineLevel="0" collapsed="false">
      <c r="A387" s="2" t="n">
        <v>46171</v>
      </c>
      <c r="B387" s="3" t="s">
        <v>25</v>
      </c>
      <c r="C387" s="3" t="s">
        <v>17</v>
      </c>
      <c r="D387" s="3" t="s">
        <v>23</v>
      </c>
      <c r="E387" s="0" t="n">
        <v>1</v>
      </c>
      <c r="F387" s="4" t="n">
        <v>2961</v>
      </c>
      <c r="G387" s="4" t="n">
        <f aca="false">E387*F387</f>
        <v>2961</v>
      </c>
      <c r="H387" s="0" t="str">
        <f aca="false">TEXT(A387,"mmm-yy")</f>
        <v>May-26</v>
      </c>
    </row>
    <row r="388" customFormat="false" ht="15" hidden="false" customHeight="false" outlineLevel="0" collapsed="false">
      <c r="A388" s="2" t="n">
        <v>46171</v>
      </c>
      <c r="B388" s="3" t="s">
        <v>29</v>
      </c>
      <c r="C388" s="3" t="s">
        <v>17</v>
      </c>
      <c r="D388" s="3" t="s">
        <v>18</v>
      </c>
      <c r="E388" s="0" t="n">
        <v>3</v>
      </c>
      <c r="F388" s="4" t="n">
        <v>2161</v>
      </c>
      <c r="G388" s="4" t="n">
        <f aca="false">E388*F388</f>
        <v>6483</v>
      </c>
      <c r="H388" s="0" t="str">
        <f aca="false">TEXT(A388,"mmm-yy")</f>
        <v>May-26</v>
      </c>
    </row>
    <row r="389" customFormat="false" ht="15" hidden="false" customHeight="false" outlineLevel="0" collapsed="false">
      <c r="A389" s="2" t="n">
        <v>46171</v>
      </c>
      <c r="B389" s="3" t="s">
        <v>28</v>
      </c>
      <c r="C389" s="3" t="s">
        <v>20</v>
      </c>
      <c r="D389" s="3" t="s">
        <v>23</v>
      </c>
      <c r="E389" s="0" t="n">
        <v>4</v>
      </c>
      <c r="F389" s="4" t="n">
        <v>1765</v>
      </c>
      <c r="G389" s="4" t="n">
        <f aca="false">E389*F389</f>
        <v>7060</v>
      </c>
      <c r="H389" s="0" t="str">
        <f aca="false">TEXT(A389,"mmm-yy")</f>
        <v>May-26</v>
      </c>
    </row>
    <row r="390" customFormat="false" ht="15" hidden="false" customHeight="false" outlineLevel="0" collapsed="false">
      <c r="A390" s="2" t="n">
        <v>46172</v>
      </c>
      <c r="B390" s="3" t="s">
        <v>19</v>
      </c>
      <c r="C390" s="3" t="s">
        <v>20</v>
      </c>
      <c r="D390" s="3" t="s">
        <v>23</v>
      </c>
      <c r="E390" s="0" t="n">
        <v>3</v>
      </c>
      <c r="F390" s="4" t="n">
        <v>927</v>
      </c>
      <c r="G390" s="4" t="n">
        <f aca="false">E390*F390</f>
        <v>2781</v>
      </c>
      <c r="H390" s="0" t="str">
        <f aca="false">TEXT(A390,"mmm-yy")</f>
        <v>May-26</v>
      </c>
    </row>
    <row r="391" customFormat="false" ht="15" hidden="false" customHeight="false" outlineLevel="0" collapsed="false">
      <c r="A391" s="2" t="n">
        <v>46172</v>
      </c>
      <c r="B391" s="3" t="s">
        <v>21</v>
      </c>
      <c r="C391" s="3" t="s">
        <v>12</v>
      </c>
      <c r="D391" s="3" t="s">
        <v>13</v>
      </c>
      <c r="E391" s="0" t="n">
        <v>4</v>
      </c>
      <c r="F391" s="4" t="n">
        <v>372</v>
      </c>
      <c r="G391" s="4" t="n">
        <f aca="false">E391*F391</f>
        <v>1488</v>
      </c>
      <c r="H391" s="0" t="str">
        <f aca="false">TEXT(A391,"mmm-yy")</f>
        <v>May-26</v>
      </c>
    </row>
    <row r="392" customFormat="false" ht="15" hidden="false" customHeight="false" outlineLevel="0" collapsed="false">
      <c r="A392" s="2" t="n">
        <v>46173</v>
      </c>
      <c r="B392" s="3" t="s">
        <v>14</v>
      </c>
      <c r="C392" s="3" t="s">
        <v>15</v>
      </c>
      <c r="D392" s="3" t="s">
        <v>23</v>
      </c>
      <c r="E392" s="0" t="n">
        <v>2</v>
      </c>
      <c r="F392" s="4" t="n">
        <v>862</v>
      </c>
      <c r="G392" s="4" t="n">
        <f aca="false">E392*F392</f>
        <v>1724</v>
      </c>
      <c r="H392" s="0" t="str">
        <f aca="false">TEXT(A392,"mmm-yy")</f>
        <v>May-26</v>
      </c>
    </row>
    <row r="393" customFormat="false" ht="15" hidden="false" customHeight="false" outlineLevel="0" collapsed="false">
      <c r="A393" s="2" t="n">
        <v>46173</v>
      </c>
      <c r="B393" s="3" t="s">
        <v>25</v>
      </c>
      <c r="C393" s="3" t="s">
        <v>17</v>
      </c>
      <c r="D393" s="3" t="s">
        <v>23</v>
      </c>
      <c r="E393" s="0" t="n">
        <v>3</v>
      </c>
      <c r="F393" s="4" t="n">
        <v>2621</v>
      </c>
      <c r="G393" s="4" t="n">
        <f aca="false">E393*F393</f>
        <v>7863</v>
      </c>
      <c r="H393" s="0" t="str">
        <f aca="false">TEXT(A393,"mmm-yy")</f>
        <v>May-26</v>
      </c>
    </row>
    <row r="394" customFormat="false" ht="15" hidden="false" customHeight="false" outlineLevel="0" collapsed="false">
      <c r="A394" s="2" t="n">
        <v>46173</v>
      </c>
      <c r="B394" s="3" t="s">
        <v>29</v>
      </c>
      <c r="C394" s="3" t="s">
        <v>17</v>
      </c>
      <c r="D394" s="3" t="s">
        <v>10</v>
      </c>
      <c r="E394" s="0" t="n">
        <v>4</v>
      </c>
      <c r="F394" s="4" t="n">
        <v>2279</v>
      </c>
      <c r="G394" s="4" t="n">
        <f aca="false">E394*F394</f>
        <v>9116</v>
      </c>
      <c r="H394" s="0" t="str">
        <f aca="false">TEXT(A394,"mmm-yy")</f>
        <v>May-26</v>
      </c>
    </row>
    <row r="395" customFormat="false" ht="15" hidden="false" customHeight="false" outlineLevel="0" collapsed="false">
      <c r="A395" s="2" t="n">
        <v>46173</v>
      </c>
      <c r="B395" s="3" t="s">
        <v>11</v>
      </c>
      <c r="C395" s="3" t="s">
        <v>12</v>
      </c>
      <c r="D395" s="3" t="s">
        <v>13</v>
      </c>
      <c r="E395" s="0" t="n">
        <v>4</v>
      </c>
      <c r="F395" s="4" t="n">
        <v>643</v>
      </c>
      <c r="G395" s="4" t="n">
        <f aca="false">E395*F395</f>
        <v>2572</v>
      </c>
      <c r="H395" s="0" t="str">
        <f aca="false">TEXT(A395,"mmm-yy")</f>
        <v>May-26</v>
      </c>
    </row>
    <row r="396" customFormat="false" ht="15" hidden="false" customHeight="false" outlineLevel="0" collapsed="false">
      <c r="A396" s="2" t="n">
        <v>46174</v>
      </c>
      <c r="B396" s="3" t="s">
        <v>14</v>
      </c>
      <c r="C396" s="3" t="s">
        <v>15</v>
      </c>
      <c r="D396" s="3" t="s">
        <v>13</v>
      </c>
      <c r="E396" s="0" t="n">
        <v>3</v>
      </c>
      <c r="F396" s="4" t="n">
        <v>863</v>
      </c>
      <c r="G396" s="4" t="n">
        <f aca="false">E396*F396</f>
        <v>2589</v>
      </c>
      <c r="H396" s="0" t="str">
        <f aca="false">TEXT(A396,"mmm-yy")</f>
        <v>Jun-26</v>
      </c>
    </row>
    <row r="397" customFormat="false" ht="15" hidden="false" customHeight="false" outlineLevel="0" collapsed="false">
      <c r="A397" s="2" t="n">
        <v>46174</v>
      </c>
      <c r="B397" s="3" t="s">
        <v>22</v>
      </c>
      <c r="C397" s="3" t="s">
        <v>9</v>
      </c>
      <c r="D397" s="3" t="s">
        <v>23</v>
      </c>
      <c r="E397" s="0" t="n">
        <v>4</v>
      </c>
      <c r="F397" s="4" t="n">
        <v>3595</v>
      </c>
      <c r="G397" s="4" t="n">
        <f aca="false">E397*F397</f>
        <v>14380</v>
      </c>
      <c r="H397" s="0" t="str">
        <f aca="false">TEXT(A397,"mmm-yy")</f>
        <v>Jun-26</v>
      </c>
    </row>
    <row r="398" customFormat="false" ht="15" hidden="false" customHeight="false" outlineLevel="0" collapsed="false">
      <c r="A398" s="2" t="n">
        <v>46174</v>
      </c>
      <c r="B398" s="3" t="s">
        <v>24</v>
      </c>
      <c r="C398" s="3" t="s">
        <v>20</v>
      </c>
      <c r="D398" s="3" t="s">
        <v>13</v>
      </c>
      <c r="E398" s="0" t="n">
        <v>2</v>
      </c>
      <c r="F398" s="4" t="n">
        <v>628</v>
      </c>
      <c r="G398" s="4" t="n">
        <f aca="false">E398*F398</f>
        <v>1256</v>
      </c>
      <c r="H398" s="0" t="str">
        <f aca="false">TEXT(A398,"mmm-yy")</f>
        <v>Jun-26</v>
      </c>
    </row>
    <row r="399" customFormat="false" ht="15" hidden="false" customHeight="false" outlineLevel="0" collapsed="false">
      <c r="A399" s="2" t="n">
        <v>46175</v>
      </c>
      <c r="B399" s="3" t="s">
        <v>14</v>
      </c>
      <c r="C399" s="3" t="s">
        <v>15</v>
      </c>
      <c r="D399" s="3" t="s">
        <v>13</v>
      </c>
      <c r="E399" s="0" t="n">
        <v>4</v>
      </c>
      <c r="F399" s="4" t="n">
        <v>822</v>
      </c>
      <c r="G399" s="4" t="n">
        <f aca="false">E399*F399</f>
        <v>3288</v>
      </c>
      <c r="H399" s="0" t="str">
        <f aca="false">TEXT(A399,"mmm-yy")</f>
        <v>Jun-26</v>
      </c>
    </row>
    <row r="400" customFormat="false" ht="15" hidden="false" customHeight="false" outlineLevel="0" collapsed="false">
      <c r="A400" s="2" t="n">
        <v>46175</v>
      </c>
      <c r="B400" s="3" t="s">
        <v>27</v>
      </c>
      <c r="C400" s="3" t="s">
        <v>9</v>
      </c>
      <c r="D400" s="3" t="s">
        <v>23</v>
      </c>
      <c r="E400" s="0" t="n">
        <v>3</v>
      </c>
      <c r="F400" s="4" t="n">
        <v>1395</v>
      </c>
      <c r="G400" s="4" t="n">
        <f aca="false">E400*F400</f>
        <v>4185</v>
      </c>
      <c r="H400" s="0" t="str">
        <f aca="false">TEXT(A400,"mmm-yy")</f>
        <v>Jun-26</v>
      </c>
    </row>
    <row r="401" customFormat="false" ht="15" hidden="false" customHeight="false" outlineLevel="0" collapsed="false">
      <c r="A401" s="2" t="n">
        <v>46176</v>
      </c>
      <c r="B401" s="3" t="s">
        <v>14</v>
      </c>
      <c r="C401" s="3" t="s">
        <v>15</v>
      </c>
      <c r="D401" s="3" t="s">
        <v>18</v>
      </c>
      <c r="E401" s="0" t="n">
        <v>2</v>
      </c>
      <c r="F401" s="4" t="n">
        <v>739</v>
      </c>
      <c r="G401" s="4" t="n">
        <f aca="false">E401*F401</f>
        <v>1478</v>
      </c>
      <c r="H401" s="0" t="str">
        <f aca="false">TEXT(A401,"mmm-yy")</f>
        <v>Jun-26</v>
      </c>
    </row>
    <row r="402" customFormat="false" ht="15" hidden="false" customHeight="false" outlineLevel="0" collapsed="false">
      <c r="A402" s="2" t="n">
        <v>46176</v>
      </c>
      <c r="B402" s="3" t="s">
        <v>25</v>
      </c>
      <c r="C402" s="3" t="s">
        <v>17</v>
      </c>
      <c r="D402" s="3" t="s">
        <v>10</v>
      </c>
      <c r="E402" s="0" t="n">
        <v>1</v>
      </c>
      <c r="F402" s="4" t="n">
        <v>2742</v>
      </c>
      <c r="G402" s="4" t="n">
        <f aca="false">E402*F402</f>
        <v>2742</v>
      </c>
      <c r="H402" s="0" t="str">
        <f aca="false">TEXT(A402,"mmm-yy")</f>
        <v>Jun-26</v>
      </c>
    </row>
    <row r="403" customFormat="false" ht="15" hidden="false" customHeight="false" outlineLevel="0" collapsed="false">
      <c r="A403" s="2" t="n">
        <v>46176</v>
      </c>
      <c r="B403" s="3" t="s">
        <v>24</v>
      </c>
      <c r="C403" s="3" t="s">
        <v>20</v>
      </c>
      <c r="D403" s="3" t="s">
        <v>23</v>
      </c>
      <c r="E403" s="0" t="n">
        <v>3</v>
      </c>
      <c r="F403" s="4" t="n">
        <v>586</v>
      </c>
      <c r="G403" s="4" t="n">
        <f aca="false">E403*F403</f>
        <v>1758</v>
      </c>
      <c r="H403" s="0" t="str">
        <f aca="false">TEXT(A403,"mmm-yy")</f>
        <v>Jun-26</v>
      </c>
    </row>
    <row r="404" customFormat="false" ht="15" hidden="false" customHeight="false" outlineLevel="0" collapsed="false">
      <c r="A404" s="2" t="n">
        <v>46176</v>
      </c>
      <c r="B404" s="3" t="s">
        <v>16</v>
      </c>
      <c r="C404" s="3" t="s">
        <v>17</v>
      </c>
      <c r="D404" s="3" t="s">
        <v>10</v>
      </c>
      <c r="E404" s="0" t="n">
        <v>1</v>
      </c>
      <c r="F404" s="4" t="n">
        <v>536</v>
      </c>
      <c r="G404" s="4" t="n">
        <f aca="false">E404*F404</f>
        <v>536</v>
      </c>
      <c r="H404" s="0" t="str">
        <f aca="false">TEXT(A404,"mmm-yy")</f>
        <v>Jun-26</v>
      </c>
    </row>
    <row r="405" customFormat="false" ht="15" hidden="false" customHeight="false" outlineLevel="0" collapsed="false">
      <c r="A405" s="2" t="n">
        <v>46177</v>
      </c>
      <c r="B405" s="3" t="s">
        <v>24</v>
      </c>
      <c r="C405" s="3" t="s">
        <v>20</v>
      </c>
      <c r="D405" s="3" t="s">
        <v>13</v>
      </c>
      <c r="E405" s="0" t="n">
        <v>5</v>
      </c>
      <c r="F405" s="4" t="n">
        <v>588</v>
      </c>
      <c r="G405" s="4" t="n">
        <f aca="false">E405*F405</f>
        <v>2940</v>
      </c>
      <c r="H405" s="0" t="str">
        <f aca="false">TEXT(A405,"mmm-yy")</f>
        <v>Jun-26</v>
      </c>
    </row>
    <row r="406" customFormat="false" ht="15" hidden="false" customHeight="false" outlineLevel="0" collapsed="false">
      <c r="A406" s="2" t="n">
        <v>46177</v>
      </c>
      <c r="B406" s="3" t="s">
        <v>29</v>
      </c>
      <c r="C406" s="3" t="s">
        <v>17</v>
      </c>
      <c r="D406" s="3" t="s">
        <v>10</v>
      </c>
      <c r="E406" s="0" t="n">
        <v>4</v>
      </c>
      <c r="F406" s="4" t="n">
        <v>2400</v>
      </c>
      <c r="G406" s="4" t="n">
        <f aca="false">E406*F406</f>
        <v>9600</v>
      </c>
      <c r="H406" s="0" t="str">
        <f aca="false">TEXT(A406,"mmm-yy")</f>
        <v>Jun-26</v>
      </c>
    </row>
    <row r="407" customFormat="false" ht="15" hidden="false" customHeight="false" outlineLevel="0" collapsed="false">
      <c r="A407" s="2" t="n">
        <v>46177</v>
      </c>
      <c r="B407" s="3" t="s">
        <v>14</v>
      </c>
      <c r="C407" s="3" t="s">
        <v>15</v>
      </c>
      <c r="D407" s="3" t="s">
        <v>10</v>
      </c>
      <c r="E407" s="0" t="n">
        <v>4</v>
      </c>
      <c r="F407" s="4" t="n">
        <v>772</v>
      </c>
      <c r="G407" s="4" t="n">
        <f aca="false">E407*F407</f>
        <v>3088</v>
      </c>
      <c r="H407" s="0" t="str">
        <f aca="false">TEXT(A407,"mmm-yy")</f>
        <v>Jun-26</v>
      </c>
    </row>
    <row r="408" customFormat="false" ht="15" hidden="false" customHeight="false" outlineLevel="0" collapsed="false">
      <c r="A408" s="2" t="n">
        <v>46177</v>
      </c>
      <c r="B408" s="3" t="s">
        <v>22</v>
      </c>
      <c r="C408" s="3" t="s">
        <v>9</v>
      </c>
      <c r="D408" s="3" t="s">
        <v>18</v>
      </c>
      <c r="E408" s="0" t="n">
        <v>1</v>
      </c>
      <c r="F408" s="4" t="n">
        <v>3295</v>
      </c>
      <c r="G408" s="4" t="n">
        <f aca="false">E408*F408</f>
        <v>3295</v>
      </c>
      <c r="H408" s="0" t="str">
        <f aca="false">TEXT(A408,"mmm-yy")</f>
        <v>Jun-26</v>
      </c>
    </row>
    <row r="409" customFormat="false" ht="15" hidden="false" customHeight="false" outlineLevel="0" collapsed="false">
      <c r="A409" s="2" t="n">
        <v>46178</v>
      </c>
      <c r="B409" s="3" t="s">
        <v>11</v>
      </c>
      <c r="C409" s="3" t="s">
        <v>12</v>
      </c>
      <c r="D409" s="3" t="s">
        <v>23</v>
      </c>
      <c r="E409" s="0" t="n">
        <v>1</v>
      </c>
      <c r="F409" s="4" t="n">
        <v>643</v>
      </c>
      <c r="G409" s="4" t="n">
        <f aca="false">E409*F409</f>
        <v>643</v>
      </c>
      <c r="H409" s="0" t="str">
        <f aca="false">TEXT(A409,"mmm-yy")</f>
        <v>Jun-26</v>
      </c>
    </row>
    <row r="410" customFormat="false" ht="15" hidden="false" customHeight="false" outlineLevel="0" collapsed="false">
      <c r="A410" s="2" t="n">
        <v>46178</v>
      </c>
      <c r="B410" s="3" t="s">
        <v>26</v>
      </c>
      <c r="C410" s="3" t="s">
        <v>15</v>
      </c>
      <c r="D410" s="3" t="s">
        <v>23</v>
      </c>
      <c r="E410" s="0" t="n">
        <v>1</v>
      </c>
      <c r="F410" s="4" t="n">
        <v>340</v>
      </c>
      <c r="G410" s="4" t="n">
        <f aca="false">E410*F410</f>
        <v>340</v>
      </c>
      <c r="H410" s="0" t="str">
        <f aca="false">TEXT(A410,"mmm-yy")</f>
        <v>Jun-26</v>
      </c>
    </row>
    <row r="411" customFormat="false" ht="15" hidden="false" customHeight="false" outlineLevel="0" collapsed="false">
      <c r="A411" s="2" t="n">
        <v>46179</v>
      </c>
      <c r="B411" s="3" t="s">
        <v>27</v>
      </c>
      <c r="C411" s="3" t="s">
        <v>9</v>
      </c>
      <c r="D411" s="3" t="s">
        <v>23</v>
      </c>
      <c r="E411" s="0" t="n">
        <v>2</v>
      </c>
      <c r="F411" s="4" t="n">
        <v>1550</v>
      </c>
      <c r="G411" s="4" t="n">
        <f aca="false">E411*F411</f>
        <v>3100</v>
      </c>
      <c r="H411" s="0" t="str">
        <f aca="false">TEXT(A411,"mmm-yy")</f>
        <v>Jun-26</v>
      </c>
    </row>
    <row r="412" customFormat="false" ht="15" hidden="false" customHeight="false" outlineLevel="0" collapsed="false">
      <c r="A412" s="2" t="n">
        <v>46179</v>
      </c>
      <c r="B412" s="3" t="s">
        <v>24</v>
      </c>
      <c r="C412" s="3" t="s">
        <v>20</v>
      </c>
      <c r="D412" s="3" t="s">
        <v>10</v>
      </c>
      <c r="E412" s="0" t="n">
        <v>2</v>
      </c>
      <c r="F412" s="4" t="n">
        <v>573</v>
      </c>
      <c r="G412" s="4" t="n">
        <f aca="false">E412*F412</f>
        <v>1146</v>
      </c>
      <c r="H412" s="0" t="str">
        <f aca="false">TEXT(A412,"mmm-yy")</f>
        <v>Jun-26</v>
      </c>
    </row>
    <row r="413" customFormat="false" ht="15" hidden="false" customHeight="false" outlineLevel="0" collapsed="false">
      <c r="A413" s="2" t="n">
        <v>46179</v>
      </c>
      <c r="B413" s="3" t="s">
        <v>16</v>
      </c>
      <c r="C413" s="3" t="s">
        <v>17</v>
      </c>
      <c r="D413" s="3" t="s">
        <v>23</v>
      </c>
      <c r="E413" s="0" t="n">
        <v>1</v>
      </c>
      <c r="F413" s="4" t="n">
        <v>522</v>
      </c>
      <c r="G413" s="4" t="n">
        <f aca="false">E413*F413</f>
        <v>522</v>
      </c>
      <c r="H413" s="0" t="str">
        <f aca="false">TEXT(A413,"mmm-yy")</f>
        <v>Jun-26</v>
      </c>
    </row>
    <row r="414" customFormat="false" ht="15" hidden="false" customHeight="false" outlineLevel="0" collapsed="false">
      <c r="A414" s="2" t="n">
        <v>46180</v>
      </c>
      <c r="B414" s="3" t="s">
        <v>19</v>
      </c>
      <c r="C414" s="3" t="s">
        <v>20</v>
      </c>
      <c r="D414" s="3" t="s">
        <v>10</v>
      </c>
      <c r="E414" s="0" t="n">
        <v>5</v>
      </c>
      <c r="F414" s="4" t="n">
        <v>943</v>
      </c>
      <c r="G414" s="4" t="n">
        <f aca="false">E414*F414</f>
        <v>4715</v>
      </c>
      <c r="H414" s="0" t="str">
        <f aca="false">TEXT(A414,"mmm-yy")</f>
        <v>Jun-26</v>
      </c>
    </row>
    <row r="415" customFormat="false" ht="15" hidden="false" customHeight="false" outlineLevel="0" collapsed="false">
      <c r="A415" s="2" t="n">
        <v>46180</v>
      </c>
      <c r="B415" s="3" t="s">
        <v>14</v>
      </c>
      <c r="C415" s="3" t="s">
        <v>15</v>
      </c>
      <c r="D415" s="3" t="s">
        <v>23</v>
      </c>
      <c r="E415" s="0" t="n">
        <v>1</v>
      </c>
      <c r="F415" s="4" t="n">
        <v>848</v>
      </c>
      <c r="G415" s="4" t="n">
        <f aca="false">E415*F415</f>
        <v>848</v>
      </c>
      <c r="H415" s="0" t="str">
        <f aca="false">TEXT(A415,"mmm-yy")</f>
        <v>Jun-26</v>
      </c>
    </row>
    <row r="416" customFormat="false" ht="15" hidden="false" customHeight="false" outlineLevel="0" collapsed="false">
      <c r="A416" s="2" t="n">
        <v>46180</v>
      </c>
      <c r="B416" s="3" t="s">
        <v>28</v>
      </c>
      <c r="C416" s="3" t="s">
        <v>20</v>
      </c>
      <c r="D416" s="3" t="s">
        <v>18</v>
      </c>
      <c r="E416" s="0" t="n">
        <v>4</v>
      </c>
      <c r="F416" s="4" t="n">
        <v>1835</v>
      </c>
      <c r="G416" s="4" t="n">
        <f aca="false">E416*F416</f>
        <v>7340</v>
      </c>
      <c r="H416" s="0" t="str">
        <f aca="false">TEXT(A416,"mmm-yy")</f>
        <v>Jun-26</v>
      </c>
    </row>
    <row r="417" customFormat="false" ht="15" hidden="false" customHeight="false" outlineLevel="0" collapsed="false">
      <c r="A417" s="2" t="n">
        <v>46181</v>
      </c>
      <c r="B417" s="3" t="s">
        <v>14</v>
      </c>
      <c r="C417" s="3" t="s">
        <v>15</v>
      </c>
      <c r="D417" s="3" t="s">
        <v>13</v>
      </c>
      <c r="E417" s="0" t="n">
        <v>3</v>
      </c>
      <c r="F417" s="4" t="n">
        <v>745</v>
      </c>
      <c r="G417" s="4" t="n">
        <f aca="false">E417*F417</f>
        <v>2235</v>
      </c>
      <c r="H417" s="0" t="str">
        <f aca="false">TEXT(A417,"mmm-yy")</f>
        <v>Jun-26</v>
      </c>
    </row>
    <row r="418" customFormat="false" ht="15" hidden="false" customHeight="false" outlineLevel="0" collapsed="false">
      <c r="A418" s="2" t="n">
        <v>46181</v>
      </c>
      <c r="B418" s="3" t="s">
        <v>19</v>
      </c>
      <c r="C418" s="3" t="s">
        <v>20</v>
      </c>
      <c r="D418" s="3" t="s">
        <v>23</v>
      </c>
      <c r="E418" s="0" t="n">
        <v>5</v>
      </c>
      <c r="F418" s="4" t="n">
        <v>894</v>
      </c>
      <c r="G418" s="4" t="n">
        <f aca="false">E418*F418</f>
        <v>4470</v>
      </c>
      <c r="H418" s="0" t="str">
        <f aca="false">TEXT(A418,"mmm-yy")</f>
        <v>Jun-26</v>
      </c>
    </row>
    <row r="419" customFormat="false" ht="15" hidden="false" customHeight="false" outlineLevel="0" collapsed="false">
      <c r="A419" s="2" t="n">
        <v>46181</v>
      </c>
      <c r="B419" s="3" t="s">
        <v>27</v>
      </c>
      <c r="C419" s="3" t="s">
        <v>9</v>
      </c>
      <c r="D419" s="3" t="s">
        <v>10</v>
      </c>
      <c r="E419" s="0" t="n">
        <v>5</v>
      </c>
      <c r="F419" s="4" t="n">
        <v>1590</v>
      </c>
      <c r="G419" s="4" t="n">
        <f aca="false">E419*F419</f>
        <v>7950</v>
      </c>
      <c r="H419" s="0" t="str">
        <f aca="false">TEXT(A419,"mmm-yy")</f>
        <v>Jun-26</v>
      </c>
    </row>
    <row r="420" customFormat="false" ht="15" hidden="false" customHeight="false" outlineLevel="0" collapsed="false">
      <c r="A420" s="2" t="n">
        <v>46181</v>
      </c>
      <c r="B420" s="3" t="s">
        <v>21</v>
      </c>
      <c r="C420" s="3" t="s">
        <v>12</v>
      </c>
      <c r="D420" s="3" t="s">
        <v>13</v>
      </c>
      <c r="E420" s="0" t="n">
        <v>4</v>
      </c>
      <c r="F420" s="4" t="n">
        <v>429</v>
      </c>
      <c r="G420" s="4" t="n">
        <f aca="false">E420*F420</f>
        <v>1716</v>
      </c>
      <c r="H420" s="0" t="str">
        <f aca="false">TEXT(A420,"mmm-yy")</f>
        <v>Jun-26</v>
      </c>
    </row>
    <row r="421" customFormat="false" ht="15" hidden="false" customHeight="false" outlineLevel="0" collapsed="false">
      <c r="A421" s="2" t="n">
        <v>46182</v>
      </c>
      <c r="B421" s="3" t="s">
        <v>24</v>
      </c>
      <c r="C421" s="3" t="s">
        <v>20</v>
      </c>
      <c r="D421" s="3" t="s">
        <v>10</v>
      </c>
      <c r="E421" s="0" t="n">
        <v>2</v>
      </c>
      <c r="F421" s="4" t="n">
        <v>566</v>
      </c>
      <c r="G421" s="4" t="n">
        <f aca="false">E421*F421</f>
        <v>1132</v>
      </c>
      <c r="H421" s="0" t="str">
        <f aca="false">TEXT(A421,"mmm-yy")</f>
        <v>Jun-26</v>
      </c>
    </row>
    <row r="422" customFormat="false" ht="15" hidden="false" customHeight="false" outlineLevel="0" collapsed="false">
      <c r="A422" s="2" t="n">
        <v>46183</v>
      </c>
      <c r="B422" s="3" t="s">
        <v>11</v>
      </c>
      <c r="C422" s="3" t="s">
        <v>12</v>
      </c>
      <c r="D422" s="3" t="s">
        <v>23</v>
      </c>
      <c r="E422" s="0" t="n">
        <v>5</v>
      </c>
      <c r="F422" s="4" t="n">
        <v>620</v>
      </c>
      <c r="G422" s="4" t="n">
        <f aca="false">E422*F422</f>
        <v>3100</v>
      </c>
      <c r="H422" s="0" t="str">
        <f aca="false">TEXT(A422,"mmm-yy")</f>
        <v>Jun-26</v>
      </c>
    </row>
    <row r="423" customFormat="false" ht="15" hidden="false" customHeight="false" outlineLevel="0" collapsed="false">
      <c r="A423" s="2" t="n">
        <v>46183</v>
      </c>
      <c r="B423" s="3" t="s">
        <v>22</v>
      </c>
      <c r="C423" s="3" t="s">
        <v>9</v>
      </c>
      <c r="D423" s="3" t="s">
        <v>23</v>
      </c>
      <c r="E423" s="0" t="n">
        <v>5</v>
      </c>
      <c r="F423" s="4" t="n">
        <v>3359</v>
      </c>
      <c r="G423" s="4" t="n">
        <f aca="false">E423*F423</f>
        <v>16795</v>
      </c>
      <c r="H423" s="0" t="str">
        <f aca="false">TEXT(A423,"mmm-yy")</f>
        <v>Jun-26</v>
      </c>
    </row>
    <row r="424" customFormat="false" ht="15" hidden="false" customHeight="false" outlineLevel="0" collapsed="false">
      <c r="A424" s="2" t="n">
        <v>46183</v>
      </c>
      <c r="B424" s="3" t="s">
        <v>27</v>
      </c>
      <c r="C424" s="3" t="s">
        <v>9</v>
      </c>
      <c r="D424" s="3" t="s">
        <v>13</v>
      </c>
      <c r="E424" s="0" t="n">
        <v>5</v>
      </c>
      <c r="F424" s="4" t="n">
        <v>1529</v>
      </c>
      <c r="G424" s="4" t="n">
        <f aca="false">E424*F424</f>
        <v>7645</v>
      </c>
      <c r="H424" s="0" t="str">
        <f aca="false">TEXT(A424,"mmm-yy")</f>
        <v>Jun-26</v>
      </c>
    </row>
    <row r="425" customFormat="false" ht="15" hidden="false" customHeight="false" outlineLevel="0" collapsed="false">
      <c r="A425" s="2" t="n">
        <v>46184</v>
      </c>
      <c r="B425" s="3" t="s">
        <v>14</v>
      </c>
      <c r="C425" s="3" t="s">
        <v>15</v>
      </c>
      <c r="D425" s="3" t="s">
        <v>10</v>
      </c>
      <c r="E425" s="0" t="n">
        <v>2</v>
      </c>
      <c r="F425" s="4" t="n">
        <v>855</v>
      </c>
      <c r="G425" s="4" t="n">
        <f aca="false">E425*F425</f>
        <v>1710</v>
      </c>
      <c r="H425" s="0" t="str">
        <f aca="false">TEXT(A425,"mmm-yy")</f>
        <v>Jun-26</v>
      </c>
    </row>
    <row r="426" customFormat="false" ht="15" hidden="false" customHeight="false" outlineLevel="0" collapsed="false">
      <c r="A426" s="2" t="n">
        <v>46184</v>
      </c>
      <c r="B426" s="3" t="s">
        <v>26</v>
      </c>
      <c r="C426" s="3" t="s">
        <v>15</v>
      </c>
      <c r="D426" s="3" t="s">
        <v>23</v>
      </c>
      <c r="E426" s="0" t="n">
        <v>5</v>
      </c>
      <c r="F426" s="4" t="n">
        <v>356</v>
      </c>
      <c r="G426" s="4" t="n">
        <f aca="false">E426*F426</f>
        <v>1780</v>
      </c>
      <c r="H426" s="0" t="str">
        <f aca="false">TEXT(A426,"mmm-yy")</f>
        <v>Jun-26</v>
      </c>
    </row>
    <row r="427" customFormat="false" ht="15" hidden="false" customHeight="false" outlineLevel="0" collapsed="false">
      <c r="A427" s="2" t="n">
        <v>46185</v>
      </c>
      <c r="B427" s="3" t="s">
        <v>8</v>
      </c>
      <c r="C427" s="3" t="s">
        <v>9</v>
      </c>
      <c r="D427" s="3" t="s">
        <v>23</v>
      </c>
      <c r="E427" s="0" t="n">
        <v>5</v>
      </c>
      <c r="F427" s="4" t="n">
        <v>1772</v>
      </c>
      <c r="G427" s="4" t="n">
        <f aca="false">E427*F427</f>
        <v>8860</v>
      </c>
      <c r="H427" s="0" t="str">
        <f aca="false">TEXT(A427,"mmm-yy")</f>
        <v>Jun-26</v>
      </c>
    </row>
    <row r="428" customFormat="false" ht="15" hidden="false" customHeight="false" outlineLevel="0" collapsed="false">
      <c r="A428" s="2" t="n">
        <v>46186</v>
      </c>
      <c r="B428" s="3" t="s">
        <v>21</v>
      </c>
      <c r="C428" s="3" t="s">
        <v>12</v>
      </c>
      <c r="D428" s="3" t="s">
        <v>13</v>
      </c>
      <c r="E428" s="0" t="n">
        <v>5</v>
      </c>
      <c r="F428" s="4" t="n">
        <v>404</v>
      </c>
      <c r="G428" s="4" t="n">
        <f aca="false">E428*F428</f>
        <v>2020</v>
      </c>
      <c r="H428" s="0" t="str">
        <f aca="false">TEXT(A428,"mmm-yy")</f>
        <v>Jun-26</v>
      </c>
    </row>
    <row r="429" customFormat="false" ht="15" hidden="false" customHeight="false" outlineLevel="0" collapsed="false">
      <c r="A429" s="2" t="n">
        <v>46186</v>
      </c>
      <c r="B429" s="3" t="s">
        <v>19</v>
      </c>
      <c r="C429" s="3" t="s">
        <v>20</v>
      </c>
      <c r="D429" s="3" t="s">
        <v>23</v>
      </c>
      <c r="E429" s="0" t="n">
        <v>5</v>
      </c>
      <c r="F429" s="4" t="n">
        <v>955</v>
      </c>
      <c r="G429" s="4" t="n">
        <f aca="false">E429*F429</f>
        <v>4775</v>
      </c>
      <c r="H429" s="0" t="str">
        <f aca="false">TEXT(A429,"mmm-yy")</f>
        <v>Jun-26</v>
      </c>
    </row>
    <row r="430" customFormat="false" ht="15" hidden="false" customHeight="false" outlineLevel="0" collapsed="false">
      <c r="A430" s="2" t="n">
        <v>46187</v>
      </c>
      <c r="B430" s="3" t="s">
        <v>19</v>
      </c>
      <c r="C430" s="3" t="s">
        <v>20</v>
      </c>
      <c r="D430" s="3" t="s">
        <v>23</v>
      </c>
      <c r="E430" s="0" t="n">
        <v>4</v>
      </c>
      <c r="F430" s="4" t="n">
        <v>862</v>
      </c>
      <c r="G430" s="4" t="n">
        <f aca="false">E430*F430</f>
        <v>3448</v>
      </c>
      <c r="H430" s="0" t="str">
        <f aca="false">TEXT(A430,"mmm-yy")</f>
        <v>Jun-26</v>
      </c>
    </row>
    <row r="431" customFormat="false" ht="15" hidden="false" customHeight="false" outlineLevel="0" collapsed="false">
      <c r="A431" s="2" t="n">
        <v>46187</v>
      </c>
      <c r="B431" s="3" t="s">
        <v>19</v>
      </c>
      <c r="C431" s="3" t="s">
        <v>20</v>
      </c>
      <c r="D431" s="3" t="s">
        <v>10</v>
      </c>
      <c r="E431" s="0" t="n">
        <v>1</v>
      </c>
      <c r="F431" s="4" t="n">
        <v>838</v>
      </c>
      <c r="G431" s="4" t="n">
        <f aca="false">E431*F431</f>
        <v>838</v>
      </c>
      <c r="H431" s="0" t="str">
        <f aca="false">TEXT(A431,"mmm-yy")</f>
        <v>Jun-26</v>
      </c>
    </row>
    <row r="432" customFormat="false" ht="15" hidden="false" customHeight="false" outlineLevel="0" collapsed="false">
      <c r="A432" s="2" t="n">
        <v>46187</v>
      </c>
      <c r="B432" s="3" t="s">
        <v>19</v>
      </c>
      <c r="C432" s="3" t="s">
        <v>20</v>
      </c>
      <c r="D432" s="3" t="s">
        <v>10</v>
      </c>
      <c r="E432" s="0" t="n">
        <v>4</v>
      </c>
      <c r="F432" s="4" t="n">
        <v>887</v>
      </c>
      <c r="G432" s="4" t="n">
        <f aca="false">E432*F432</f>
        <v>3548</v>
      </c>
      <c r="H432" s="0" t="str">
        <f aca="false">TEXT(A432,"mmm-yy")</f>
        <v>Jun-26</v>
      </c>
    </row>
    <row r="433" customFormat="false" ht="15" hidden="false" customHeight="false" outlineLevel="0" collapsed="false">
      <c r="A433" s="2" t="n">
        <v>46188</v>
      </c>
      <c r="B433" s="3" t="s">
        <v>14</v>
      </c>
      <c r="C433" s="3" t="s">
        <v>15</v>
      </c>
      <c r="D433" s="3" t="s">
        <v>23</v>
      </c>
      <c r="E433" s="0" t="n">
        <v>3</v>
      </c>
      <c r="F433" s="4" t="n">
        <v>753</v>
      </c>
      <c r="G433" s="4" t="n">
        <f aca="false">E433*F433</f>
        <v>2259</v>
      </c>
      <c r="H433" s="0" t="str">
        <f aca="false">TEXT(A433,"mmm-yy")</f>
        <v>Jun-26</v>
      </c>
    </row>
    <row r="434" customFormat="false" ht="15" hidden="false" customHeight="false" outlineLevel="0" collapsed="false">
      <c r="A434" s="2" t="n">
        <v>46188</v>
      </c>
      <c r="B434" s="3" t="s">
        <v>28</v>
      </c>
      <c r="C434" s="3" t="s">
        <v>20</v>
      </c>
      <c r="D434" s="3" t="s">
        <v>13</v>
      </c>
      <c r="E434" s="0" t="n">
        <v>3</v>
      </c>
      <c r="F434" s="4" t="n">
        <v>1599</v>
      </c>
      <c r="G434" s="4" t="n">
        <f aca="false">E434*F434</f>
        <v>4797</v>
      </c>
      <c r="H434" s="0" t="str">
        <f aca="false">TEXT(A434,"mmm-yy")</f>
        <v>Jun-26</v>
      </c>
    </row>
    <row r="435" customFormat="false" ht="15" hidden="false" customHeight="false" outlineLevel="0" collapsed="false">
      <c r="A435" s="2" t="n">
        <v>46188</v>
      </c>
      <c r="B435" s="3" t="s">
        <v>25</v>
      </c>
      <c r="C435" s="3" t="s">
        <v>17</v>
      </c>
      <c r="D435" s="3" t="s">
        <v>23</v>
      </c>
      <c r="E435" s="0" t="n">
        <v>1</v>
      </c>
      <c r="F435" s="4" t="n">
        <v>2683</v>
      </c>
      <c r="G435" s="4" t="n">
        <f aca="false">E435*F435</f>
        <v>2683</v>
      </c>
      <c r="H435" s="0" t="str">
        <f aca="false">TEXT(A435,"mmm-yy")</f>
        <v>Jun-26</v>
      </c>
    </row>
    <row r="436" customFormat="false" ht="15" hidden="false" customHeight="false" outlineLevel="0" collapsed="false">
      <c r="A436" s="2" t="n">
        <v>46189</v>
      </c>
      <c r="B436" s="3" t="s">
        <v>16</v>
      </c>
      <c r="C436" s="3" t="s">
        <v>17</v>
      </c>
      <c r="D436" s="3" t="s">
        <v>23</v>
      </c>
      <c r="E436" s="0" t="n">
        <v>1</v>
      </c>
      <c r="F436" s="4" t="n">
        <v>470</v>
      </c>
      <c r="G436" s="4" t="n">
        <f aca="false">E436*F436</f>
        <v>470</v>
      </c>
      <c r="H436" s="0" t="str">
        <f aca="false">TEXT(A436,"mmm-yy")</f>
        <v>Jun-26</v>
      </c>
    </row>
    <row r="437" customFormat="false" ht="15" hidden="false" customHeight="false" outlineLevel="0" collapsed="false">
      <c r="A437" s="2" t="n">
        <v>46189</v>
      </c>
      <c r="B437" s="3" t="s">
        <v>28</v>
      </c>
      <c r="C437" s="3" t="s">
        <v>20</v>
      </c>
      <c r="D437" s="3" t="s">
        <v>10</v>
      </c>
      <c r="E437" s="0" t="n">
        <v>4</v>
      </c>
      <c r="F437" s="4" t="n">
        <v>1798</v>
      </c>
      <c r="G437" s="4" t="n">
        <f aca="false">E437*F437</f>
        <v>7192</v>
      </c>
      <c r="H437" s="0" t="str">
        <f aca="false">TEXT(A437,"mmm-yy")</f>
        <v>Jun-26</v>
      </c>
    </row>
    <row r="438" customFormat="false" ht="15" hidden="false" customHeight="false" outlineLevel="0" collapsed="false">
      <c r="A438" s="2" t="n">
        <v>46189</v>
      </c>
      <c r="B438" s="3" t="s">
        <v>27</v>
      </c>
      <c r="C438" s="3" t="s">
        <v>9</v>
      </c>
      <c r="D438" s="3" t="s">
        <v>23</v>
      </c>
      <c r="E438" s="0" t="n">
        <v>5</v>
      </c>
      <c r="F438" s="4" t="n">
        <v>1574</v>
      </c>
      <c r="G438" s="4" t="n">
        <f aca="false">E438*F438</f>
        <v>7870</v>
      </c>
      <c r="H438" s="0" t="str">
        <f aca="false">TEXT(A438,"mmm-yy")</f>
        <v>Jun-26</v>
      </c>
    </row>
    <row r="439" customFormat="false" ht="15" hidden="false" customHeight="false" outlineLevel="0" collapsed="false">
      <c r="A439" s="2" t="n">
        <v>46189</v>
      </c>
      <c r="B439" s="3" t="s">
        <v>16</v>
      </c>
      <c r="C439" s="3" t="s">
        <v>17</v>
      </c>
      <c r="D439" s="3" t="s">
        <v>18</v>
      </c>
      <c r="E439" s="0" t="n">
        <v>4</v>
      </c>
      <c r="F439" s="4" t="n">
        <v>520</v>
      </c>
      <c r="G439" s="4" t="n">
        <f aca="false">E439*F439</f>
        <v>2080</v>
      </c>
      <c r="H439" s="0" t="str">
        <f aca="false">TEXT(A439,"mmm-yy")</f>
        <v>Jun-26</v>
      </c>
    </row>
    <row r="440" customFormat="false" ht="15" hidden="false" customHeight="false" outlineLevel="0" collapsed="false">
      <c r="A440" s="2" t="n">
        <v>46190</v>
      </c>
      <c r="B440" s="3" t="s">
        <v>29</v>
      </c>
      <c r="C440" s="3" t="s">
        <v>17</v>
      </c>
      <c r="D440" s="3" t="s">
        <v>18</v>
      </c>
      <c r="E440" s="0" t="n">
        <v>1</v>
      </c>
      <c r="F440" s="4" t="n">
        <v>2298</v>
      </c>
      <c r="G440" s="4" t="n">
        <f aca="false">E440*F440</f>
        <v>2298</v>
      </c>
      <c r="H440" s="0" t="str">
        <f aca="false">TEXT(A440,"mmm-yy")</f>
        <v>Jun-26</v>
      </c>
    </row>
    <row r="441" customFormat="false" ht="15" hidden="false" customHeight="false" outlineLevel="0" collapsed="false">
      <c r="A441" s="2" t="n">
        <v>46190</v>
      </c>
      <c r="B441" s="3" t="s">
        <v>24</v>
      </c>
      <c r="C441" s="3" t="s">
        <v>20</v>
      </c>
      <c r="D441" s="3" t="s">
        <v>10</v>
      </c>
      <c r="E441" s="0" t="n">
        <v>2</v>
      </c>
      <c r="F441" s="4" t="n">
        <v>595</v>
      </c>
      <c r="G441" s="4" t="n">
        <f aca="false">E441*F441</f>
        <v>1190</v>
      </c>
      <c r="H441" s="0" t="str">
        <f aca="false">TEXT(A441,"mmm-yy")</f>
        <v>Jun-26</v>
      </c>
    </row>
    <row r="442" customFormat="false" ht="15" hidden="false" customHeight="false" outlineLevel="0" collapsed="false">
      <c r="A442" s="2" t="n">
        <v>46190</v>
      </c>
      <c r="B442" s="3" t="s">
        <v>14</v>
      </c>
      <c r="C442" s="3" t="s">
        <v>15</v>
      </c>
      <c r="D442" s="3" t="s">
        <v>23</v>
      </c>
      <c r="E442" s="0" t="n">
        <v>1</v>
      </c>
      <c r="F442" s="4" t="n">
        <v>780</v>
      </c>
      <c r="G442" s="4" t="n">
        <f aca="false">E442*F442</f>
        <v>780</v>
      </c>
      <c r="H442" s="0" t="str">
        <f aca="false">TEXT(A442,"mmm-yy")</f>
        <v>Jun-26</v>
      </c>
    </row>
    <row r="443" customFormat="false" ht="15" hidden="false" customHeight="false" outlineLevel="0" collapsed="false">
      <c r="A443" s="2" t="n">
        <v>46190</v>
      </c>
      <c r="B443" s="3" t="s">
        <v>19</v>
      </c>
      <c r="C443" s="3" t="s">
        <v>20</v>
      </c>
      <c r="D443" s="3" t="s">
        <v>23</v>
      </c>
      <c r="E443" s="0" t="n">
        <v>4</v>
      </c>
      <c r="F443" s="4" t="n">
        <v>913</v>
      </c>
      <c r="G443" s="4" t="n">
        <f aca="false">E443*F443</f>
        <v>3652</v>
      </c>
      <c r="H443" s="0" t="str">
        <f aca="false">TEXT(A443,"mmm-yy")</f>
        <v>Jun-26</v>
      </c>
    </row>
    <row r="444" customFormat="false" ht="15" hidden="false" customHeight="false" outlineLevel="0" collapsed="false">
      <c r="A444" s="2" t="n">
        <v>46191</v>
      </c>
      <c r="B444" s="3" t="s">
        <v>22</v>
      </c>
      <c r="C444" s="3" t="s">
        <v>9</v>
      </c>
      <c r="D444" s="3" t="s">
        <v>23</v>
      </c>
      <c r="E444" s="0" t="n">
        <v>3</v>
      </c>
      <c r="F444" s="4" t="n">
        <v>3460</v>
      </c>
      <c r="G444" s="4" t="n">
        <f aca="false">E444*F444</f>
        <v>10380</v>
      </c>
      <c r="H444" s="0" t="str">
        <f aca="false">TEXT(A444,"mmm-yy")</f>
        <v>Jun-26</v>
      </c>
    </row>
    <row r="445" customFormat="false" ht="15" hidden="false" customHeight="false" outlineLevel="0" collapsed="false">
      <c r="A445" s="2" t="n">
        <v>46192</v>
      </c>
      <c r="B445" s="3" t="s">
        <v>25</v>
      </c>
      <c r="C445" s="3" t="s">
        <v>17</v>
      </c>
      <c r="D445" s="3" t="s">
        <v>10</v>
      </c>
      <c r="E445" s="0" t="n">
        <v>1</v>
      </c>
      <c r="F445" s="4" t="n">
        <v>2595</v>
      </c>
      <c r="G445" s="4" t="n">
        <f aca="false">E445*F445</f>
        <v>2595</v>
      </c>
      <c r="H445" s="0" t="str">
        <f aca="false">TEXT(A445,"mmm-yy")</f>
        <v>Jun-26</v>
      </c>
    </row>
    <row r="446" customFormat="false" ht="15" hidden="false" customHeight="false" outlineLevel="0" collapsed="false">
      <c r="A446" s="2" t="n">
        <v>46192</v>
      </c>
      <c r="B446" s="3" t="s">
        <v>25</v>
      </c>
      <c r="C446" s="3" t="s">
        <v>17</v>
      </c>
      <c r="D446" s="3" t="s">
        <v>18</v>
      </c>
      <c r="E446" s="0" t="n">
        <v>1</v>
      </c>
      <c r="F446" s="4" t="n">
        <v>2823</v>
      </c>
      <c r="G446" s="4" t="n">
        <f aca="false">E446*F446</f>
        <v>2823</v>
      </c>
      <c r="H446" s="0" t="str">
        <f aca="false">TEXT(A446,"mmm-yy")</f>
        <v>Jun-26</v>
      </c>
    </row>
    <row r="447" customFormat="false" ht="15" hidden="false" customHeight="false" outlineLevel="0" collapsed="false">
      <c r="A447" s="2" t="n">
        <v>46192</v>
      </c>
      <c r="B447" s="3" t="s">
        <v>24</v>
      </c>
      <c r="C447" s="3" t="s">
        <v>20</v>
      </c>
      <c r="D447" s="3" t="s">
        <v>23</v>
      </c>
      <c r="E447" s="0" t="n">
        <v>5</v>
      </c>
      <c r="F447" s="4" t="n">
        <v>594</v>
      </c>
      <c r="G447" s="4" t="n">
        <f aca="false">E447*F447</f>
        <v>2970</v>
      </c>
      <c r="H447" s="0" t="str">
        <f aca="false">TEXT(A447,"mmm-yy")</f>
        <v>Jun-26</v>
      </c>
    </row>
    <row r="448" customFormat="false" ht="15" hidden="false" customHeight="false" outlineLevel="0" collapsed="false">
      <c r="A448" s="2" t="n">
        <v>46192</v>
      </c>
      <c r="B448" s="3" t="s">
        <v>14</v>
      </c>
      <c r="C448" s="3" t="s">
        <v>15</v>
      </c>
      <c r="D448" s="3" t="s">
        <v>10</v>
      </c>
      <c r="E448" s="0" t="n">
        <v>1</v>
      </c>
      <c r="F448" s="4" t="n">
        <v>822</v>
      </c>
      <c r="G448" s="4" t="n">
        <f aca="false">E448*F448</f>
        <v>822</v>
      </c>
      <c r="H448" s="0" t="str">
        <f aca="false">TEXT(A448,"mmm-yy")</f>
        <v>Jun-26</v>
      </c>
    </row>
    <row r="449" customFormat="false" ht="15" hidden="false" customHeight="false" outlineLevel="0" collapsed="false">
      <c r="A449" s="2" t="n">
        <v>46193</v>
      </c>
      <c r="B449" s="3" t="s">
        <v>28</v>
      </c>
      <c r="C449" s="3" t="s">
        <v>20</v>
      </c>
      <c r="D449" s="3" t="s">
        <v>23</v>
      </c>
      <c r="E449" s="0" t="n">
        <v>3</v>
      </c>
      <c r="F449" s="4" t="n">
        <v>1665</v>
      </c>
      <c r="G449" s="4" t="n">
        <f aca="false">E449*F449</f>
        <v>4995</v>
      </c>
      <c r="H449" s="0" t="str">
        <f aca="false">TEXT(A449,"mmm-yy")</f>
        <v>Jun-26</v>
      </c>
    </row>
    <row r="450" customFormat="false" ht="15" hidden="false" customHeight="false" outlineLevel="0" collapsed="false">
      <c r="A450" s="2" t="n">
        <v>46194</v>
      </c>
      <c r="B450" s="3" t="s">
        <v>16</v>
      </c>
      <c r="C450" s="3" t="s">
        <v>17</v>
      </c>
      <c r="D450" s="3" t="s">
        <v>13</v>
      </c>
      <c r="E450" s="0" t="n">
        <v>4</v>
      </c>
      <c r="F450" s="4" t="n">
        <v>507</v>
      </c>
      <c r="G450" s="4" t="n">
        <f aca="false">E450*F450</f>
        <v>2028</v>
      </c>
      <c r="H450" s="0" t="str">
        <f aca="false">TEXT(A450,"mmm-yy")</f>
        <v>Jun-26</v>
      </c>
    </row>
    <row r="451" customFormat="false" ht="15" hidden="false" customHeight="false" outlineLevel="0" collapsed="false">
      <c r="A451" s="2" t="n">
        <v>46194</v>
      </c>
      <c r="B451" s="3" t="s">
        <v>8</v>
      </c>
      <c r="C451" s="3" t="s">
        <v>9</v>
      </c>
      <c r="D451" s="3" t="s">
        <v>18</v>
      </c>
      <c r="E451" s="0" t="n">
        <v>3</v>
      </c>
      <c r="F451" s="4" t="n">
        <v>1759</v>
      </c>
      <c r="G451" s="4" t="n">
        <f aca="false">E451*F451</f>
        <v>5277</v>
      </c>
      <c r="H451" s="0" t="str">
        <f aca="false">TEXT(A451,"mmm-yy")</f>
        <v>Jun-26</v>
      </c>
    </row>
    <row r="452" customFormat="false" ht="15" hidden="false" customHeight="false" outlineLevel="0" collapsed="false">
      <c r="A452" s="2" t="n">
        <v>46195</v>
      </c>
      <c r="B452" s="3" t="s">
        <v>27</v>
      </c>
      <c r="C452" s="3" t="s">
        <v>9</v>
      </c>
      <c r="D452" s="3" t="s">
        <v>10</v>
      </c>
      <c r="E452" s="0" t="n">
        <v>5</v>
      </c>
      <c r="F452" s="4" t="n">
        <v>1524</v>
      </c>
      <c r="G452" s="4" t="n">
        <f aca="false">E452*F452</f>
        <v>7620</v>
      </c>
      <c r="H452" s="0" t="str">
        <f aca="false">TEXT(A452,"mmm-yy")</f>
        <v>Jun-26</v>
      </c>
    </row>
    <row r="453" customFormat="false" ht="15" hidden="false" customHeight="false" outlineLevel="0" collapsed="false">
      <c r="A453" s="2" t="n">
        <v>46195</v>
      </c>
      <c r="B453" s="3" t="s">
        <v>25</v>
      </c>
      <c r="C453" s="3" t="s">
        <v>17</v>
      </c>
      <c r="D453" s="3" t="s">
        <v>10</v>
      </c>
      <c r="E453" s="0" t="n">
        <v>3</v>
      </c>
      <c r="F453" s="4" t="n">
        <v>2992</v>
      </c>
      <c r="G453" s="4" t="n">
        <f aca="false">E453*F453</f>
        <v>8976</v>
      </c>
      <c r="H453" s="0" t="str">
        <f aca="false">TEXT(A453,"mmm-yy")</f>
        <v>Jun-26</v>
      </c>
    </row>
    <row r="454" customFormat="false" ht="15" hidden="false" customHeight="false" outlineLevel="0" collapsed="false">
      <c r="A454" s="2" t="n">
        <v>46195</v>
      </c>
      <c r="B454" s="3" t="s">
        <v>28</v>
      </c>
      <c r="C454" s="3" t="s">
        <v>20</v>
      </c>
      <c r="D454" s="3" t="s">
        <v>23</v>
      </c>
      <c r="E454" s="0" t="n">
        <v>3</v>
      </c>
      <c r="F454" s="4" t="n">
        <v>1832</v>
      </c>
      <c r="G454" s="4" t="n">
        <f aca="false">E454*F454</f>
        <v>5496</v>
      </c>
      <c r="H454" s="0" t="str">
        <f aca="false">TEXT(A454,"mmm-yy")</f>
        <v>Jun-26</v>
      </c>
    </row>
    <row r="455" customFormat="false" ht="15" hidden="false" customHeight="false" outlineLevel="0" collapsed="false">
      <c r="A455" s="2" t="n">
        <v>46195</v>
      </c>
      <c r="B455" s="3" t="s">
        <v>24</v>
      </c>
      <c r="C455" s="3" t="s">
        <v>20</v>
      </c>
      <c r="D455" s="3" t="s">
        <v>18</v>
      </c>
      <c r="E455" s="0" t="n">
        <v>5</v>
      </c>
      <c r="F455" s="4" t="n">
        <v>630</v>
      </c>
      <c r="G455" s="4" t="n">
        <f aca="false">E455*F455</f>
        <v>3150</v>
      </c>
      <c r="H455" s="0" t="str">
        <f aca="false">TEXT(A455,"mmm-yy")</f>
        <v>Jun-26</v>
      </c>
    </row>
    <row r="456" customFormat="false" ht="15" hidden="false" customHeight="false" outlineLevel="0" collapsed="false">
      <c r="A456" s="2" t="n">
        <v>46196</v>
      </c>
      <c r="B456" s="3" t="s">
        <v>19</v>
      </c>
      <c r="C456" s="3" t="s">
        <v>20</v>
      </c>
      <c r="D456" s="3" t="s">
        <v>23</v>
      </c>
      <c r="E456" s="0" t="n">
        <v>3</v>
      </c>
      <c r="F456" s="4" t="n">
        <v>944</v>
      </c>
      <c r="G456" s="4" t="n">
        <f aca="false">E456*F456</f>
        <v>2832</v>
      </c>
      <c r="H456" s="0" t="str">
        <f aca="false">TEXT(A456,"mmm-yy")</f>
        <v>Jun-26</v>
      </c>
    </row>
    <row r="457" customFormat="false" ht="15" hidden="false" customHeight="false" outlineLevel="0" collapsed="false">
      <c r="A457" s="2" t="n">
        <v>46196</v>
      </c>
      <c r="B457" s="3" t="s">
        <v>26</v>
      </c>
      <c r="C457" s="3" t="s">
        <v>15</v>
      </c>
      <c r="D457" s="3" t="s">
        <v>23</v>
      </c>
      <c r="E457" s="0" t="n">
        <v>4</v>
      </c>
      <c r="F457" s="4" t="n">
        <v>327</v>
      </c>
      <c r="G457" s="4" t="n">
        <f aca="false">E457*F457</f>
        <v>1308</v>
      </c>
      <c r="H457" s="0" t="str">
        <f aca="false">TEXT(A457,"mmm-yy")</f>
        <v>Jun-26</v>
      </c>
    </row>
    <row r="458" customFormat="false" ht="15" hidden="false" customHeight="false" outlineLevel="0" collapsed="false">
      <c r="A458" s="2" t="n">
        <v>46196</v>
      </c>
      <c r="B458" s="3" t="s">
        <v>21</v>
      </c>
      <c r="C458" s="3" t="s">
        <v>12</v>
      </c>
      <c r="D458" s="3" t="s">
        <v>18</v>
      </c>
      <c r="E458" s="0" t="n">
        <v>1</v>
      </c>
      <c r="F458" s="4" t="n">
        <v>424</v>
      </c>
      <c r="G458" s="4" t="n">
        <f aca="false">E458*F458</f>
        <v>424</v>
      </c>
      <c r="H458" s="0" t="str">
        <f aca="false">TEXT(A458,"mmm-yy")</f>
        <v>Jun-26</v>
      </c>
    </row>
    <row r="459" customFormat="false" ht="15" hidden="false" customHeight="false" outlineLevel="0" collapsed="false">
      <c r="A459" s="2" t="n">
        <v>46197</v>
      </c>
      <c r="B459" s="3" t="s">
        <v>26</v>
      </c>
      <c r="C459" s="3" t="s">
        <v>15</v>
      </c>
      <c r="D459" s="3" t="s">
        <v>10</v>
      </c>
      <c r="E459" s="0" t="n">
        <v>5</v>
      </c>
      <c r="F459" s="4" t="n">
        <v>365</v>
      </c>
      <c r="G459" s="4" t="n">
        <f aca="false">E459*F459</f>
        <v>1825</v>
      </c>
      <c r="H459" s="0" t="str">
        <f aca="false">TEXT(A459,"mmm-yy")</f>
        <v>Jun-26</v>
      </c>
    </row>
    <row r="460" customFormat="false" ht="15" hidden="false" customHeight="false" outlineLevel="0" collapsed="false">
      <c r="A460" s="2" t="n">
        <v>46197</v>
      </c>
      <c r="B460" s="3" t="s">
        <v>11</v>
      </c>
      <c r="C460" s="3" t="s">
        <v>12</v>
      </c>
      <c r="D460" s="3" t="s">
        <v>10</v>
      </c>
      <c r="E460" s="0" t="n">
        <v>4</v>
      </c>
      <c r="F460" s="4" t="n">
        <v>602</v>
      </c>
      <c r="G460" s="4" t="n">
        <f aca="false">E460*F460</f>
        <v>2408</v>
      </c>
      <c r="H460" s="0" t="str">
        <f aca="false">TEXT(A460,"mmm-yy")</f>
        <v>Jun-26</v>
      </c>
    </row>
    <row r="461" customFormat="false" ht="15" hidden="false" customHeight="false" outlineLevel="0" collapsed="false">
      <c r="A461" s="2" t="n">
        <v>46197</v>
      </c>
      <c r="B461" s="3" t="s">
        <v>24</v>
      </c>
      <c r="C461" s="3" t="s">
        <v>20</v>
      </c>
      <c r="D461" s="3" t="s">
        <v>18</v>
      </c>
      <c r="E461" s="0" t="n">
        <v>5</v>
      </c>
      <c r="F461" s="4" t="n">
        <v>611</v>
      </c>
      <c r="G461" s="4" t="n">
        <f aca="false">E461*F461</f>
        <v>3055</v>
      </c>
      <c r="H461" s="0" t="str">
        <f aca="false">TEXT(A461,"mmm-yy")</f>
        <v>Jun-26</v>
      </c>
    </row>
    <row r="462" customFormat="false" ht="15" hidden="false" customHeight="false" outlineLevel="0" collapsed="false">
      <c r="A462" s="2" t="n">
        <v>46198</v>
      </c>
      <c r="B462" s="3" t="s">
        <v>26</v>
      </c>
      <c r="C462" s="3" t="s">
        <v>15</v>
      </c>
      <c r="D462" s="3" t="s">
        <v>13</v>
      </c>
      <c r="E462" s="0" t="n">
        <v>5</v>
      </c>
      <c r="F462" s="4" t="n">
        <v>335</v>
      </c>
      <c r="G462" s="4" t="n">
        <f aca="false">E462*F462</f>
        <v>1675</v>
      </c>
      <c r="H462" s="0" t="str">
        <f aca="false">TEXT(A462,"mmm-yy")</f>
        <v>Jun-26</v>
      </c>
    </row>
    <row r="463" customFormat="false" ht="15" hidden="false" customHeight="false" outlineLevel="0" collapsed="false">
      <c r="A463" s="2" t="n">
        <v>46198</v>
      </c>
      <c r="B463" s="3" t="s">
        <v>16</v>
      </c>
      <c r="C463" s="3" t="s">
        <v>17</v>
      </c>
      <c r="D463" s="3" t="s">
        <v>18</v>
      </c>
      <c r="E463" s="0" t="n">
        <v>3</v>
      </c>
      <c r="F463" s="4" t="n">
        <v>461</v>
      </c>
      <c r="G463" s="4" t="n">
        <f aca="false">E463*F463</f>
        <v>1383</v>
      </c>
      <c r="H463" s="0" t="str">
        <f aca="false">TEXT(A463,"mmm-yy")</f>
        <v>Jun-26</v>
      </c>
    </row>
    <row r="464" customFormat="false" ht="15" hidden="false" customHeight="false" outlineLevel="0" collapsed="false">
      <c r="A464" s="2" t="n">
        <v>46199</v>
      </c>
      <c r="B464" s="3" t="s">
        <v>28</v>
      </c>
      <c r="C464" s="3" t="s">
        <v>20</v>
      </c>
      <c r="D464" s="3" t="s">
        <v>18</v>
      </c>
      <c r="E464" s="0" t="n">
        <v>4</v>
      </c>
      <c r="F464" s="4" t="n">
        <v>1751</v>
      </c>
      <c r="G464" s="4" t="n">
        <f aca="false">E464*F464</f>
        <v>7004</v>
      </c>
      <c r="H464" s="0" t="str">
        <f aca="false">TEXT(A464,"mmm-yy")</f>
        <v>Jun-26</v>
      </c>
    </row>
    <row r="465" customFormat="false" ht="15" hidden="false" customHeight="false" outlineLevel="0" collapsed="false">
      <c r="A465" s="2" t="n">
        <v>46199</v>
      </c>
      <c r="B465" s="3" t="s">
        <v>11</v>
      </c>
      <c r="C465" s="3" t="s">
        <v>12</v>
      </c>
      <c r="D465" s="3" t="s">
        <v>10</v>
      </c>
      <c r="E465" s="0" t="n">
        <v>2</v>
      </c>
      <c r="F465" s="4" t="n">
        <v>673</v>
      </c>
      <c r="G465" s="4" t="n">
        <f aca="false">E465*F465</f>
        <v>1346</v>
      </c>
      <c r="H465" s="0" t="str">
        <f aca="false">TEXT(A465,"mmm-yy")</f>
        <v>Jun-26</v>
      </c>
    </row>
    <row r="466" customFormat="false" ht="15" hidden="false" customHeight="false" outlineLevel="0" collapsed="false">
      <c r="A466" s="2" t="n">
        <v>46200</v>
      </c>
      <c r="B466" s="3" t="s">
        <v>26</v>
      </c>
      <c r="C466" s="3" t="s">
        <v>15</v>
      </c>
      <c r="D466" s="3" t="s">
        <v>23</v>
      </c>
      <c r="E466" s="0" t="n">
        <v>4</v>
      </c>
      <c r="F466" s="4" t="n">
        <v>348</v>
      </c>
      <c r="G466" s="4" t="n">
        <f aca="false">E466*F466</f>
        <v>1392</v>
      </c>
      <c r="H466" s="0" t="str">
        <f aca="false">TEXT(A466,"mmm-yy")</f>
        <v>Jun-26</v>
      </c>
    </row>
    <row r="467" customFormat="false" ht="15" hidden="false" customHeight="false" outlineLevel="0" collapsed="false">
      <c r="A467" s="2" t="n">
        <v>46200</v>
      </c>
      <c r="B467" s="3" t="s">
        <v>27</v>
      </c>
      <c r="C467" s="3" t="s">
        <v>9</v>
      </c>
      <c r="D467" s="3" t="s">
        <v>23</v>
      </c>
      <c r="E467" s="0" t="n">
        <v>5</v>
      </c>
      <c r="F467" s="4" t="n">
        <v>1489</v>
      </c>
      <c r="G467" s="4" t="n">
        <f aca="false">E467*F467</f>
        <v>7445</v>
      </c>
      <c r="H467" s="0" t="str">
        <f aca="false">TEXT(A467,"mmm-yy")</f>
        <v>Jun-26</v>
      </c>
    </row>
    <row r="468" customFormat="false" ht="15" hidden="false" customHeight="false" outlineLevel="0" collapsed="false">
      <c r="A468" s="2" t="n">
        <v>46200</v>
      </c>
      <c r="B468" s="3" t="s">
        <v>24</v>
      </c>
      <c r="C468" s="3" t="s">
        <v>20</v>
      </c>
      <c r="D468" s="3" t="s">
        <v>18</v>
      </c>
      <c r="E468" s="0" t="n">
        <v>3</v>
      </c>
      <c r="F468" s="4" t="n">
        <v>585</v>
      </c>
      <c r="G468" s="4" t="n">
        <f aca="false">E468*F468</f>
        <v>1755</v>
      </c>
      <c r="H468" s="0" t="str">
        <f aca="false">TEXT(A468,"mmm-yy")</f>
        <v>Jun-26</v>
      </c>
    </row>
    <row r="469" customFormat="false" ht="15" hidden="false" customHeight="false" outlineLevel="0" collapsed="false">
      <c r="A469" s="2" t="n">
        <v>46201</v>
      </c>
      <c r="B469" s="3" t="s">
        <v>16</v>
      </c>
      <c r="C469" s="3" t="s">
        <v>17</v>
      </c>
      <c r="D469" s="3" t="s">
        <v>10</v>
      </c>
      <c r="E469" s="0" t="n">
        <v>3</v>
      </c>
      <c r="F469" s="4" t="n">
        <v>481</v>
      </c>
      <c r="G469" s="4" t="n">
        <f aca="false">E469*F469</f>
        <v>1443</v>
      </c>
      <c r="H469" s="0" t="str">
        <f aca="false">TEXT(A469,"mmm-yy")</f>
        <v>Jun-26</v>
      </c>
    </row>
    <row r="470" customFormat="false" ht="15" hidden="false" customHeight="false" outlineLevel="0" collapsed="false">
      <c r="A470" s="2" t="n">
        <v>46201</v>
      </c>
      <c r="B470" s="3" t="s">
        <v>29</v>
      </c>
      <c r="C470" s="3" t="s">
        <v>17</v>
      </c>
      <c r="D470" s="3" t="s">
        <v>18</v>
      </c>
      <c r="E470" s="0" t="n">
        <v>2</v>
      </c>
      <c r="F470" s="4" t="n">
        <v>2399</v>
      </c>
      <c r="G470" s="4" t="n">
        <f aca="false">E470*F470</f>
        <v>4798</v>
      </c>
      <c r="H470" s="0" t="str">
        <f aca="false">TEXT(A470,"mmm-yy")</f>
        <v>Jun-26</v>
      </c>
    </row>
    <row r="471" customFormat="false" ht="15" hidden="false" customHeight="false" outlineLevel="0" collapsed="false">
      <c r="A471" s="2" t="n">
        <v>46202</v>
      </c>
      <c r="B471" s="3" t="s">
        <v>19</v>
      </c>
      <c r="C471" s="3" t="s">
        <v>20</v>
      </c>
      <c r="D471" s="3" t="s">
        <v>23</v>
      </c>
      <c r="E471" s="0" t="n">
        <v>3</v>
      </c>
      <c r="F471" s="4" t="n">
        <v>877</v>
      </c>
      <c r="G471" s="4" t="n">
        <f aca="false">E471*F471</f>
        <v>2631</v>
      </c>
      <c r="H471" s="0" t="str">
        <f aca="false">TEXT(A471,"mmm-yy")</f>
        <v>Jun-26</v>
      </c>
    </row>
    <row r="472" customFormat="false" ht="15" hidden="false" customHeight="false" outlineLevel="0" collapsed="false">
      <c r="A472" s="2" t="n">
        <v>46202</v>
      </c>
      <c r="B472" s="3" t="s">
        <v>22</v>
      </c>
      <c r="C472" s="3" t="s">
        <v>9</v>
      </c>
      <c r="D472" s="3" t="s">
        <v>18</v>
      </c>
      <c r="E472" s="0" t="n">
        <v>5</v>
      </c>
      <c r="F472" s="4" t="n">
        <v>3540</v>
      </c>
      <c r="G472" s="4" t="n">
        <f aca="false">E472*F472</f>
        <v>17700</v>
      </c>
      <c r="H472" s="0" t="str">
        <f aca="false">TEXT(A472,"mmm-yy")</f>
        <v>Jun-26</v>
      </c>
    </row>
    <row r="473" customFormat="false" ht="15" hidden="false" customHeight="false" outlineLevel="0" collapsed="false">
      <c r="A473" s="2" t="n">
        <v>46202</v>
      </c>
      <c r="B473" s="3" t="s">
        <v>28</v>
      </c>
      <c r="C473" s="3" t="s">
        <v>20</v>
      </c>
      <c r="D473" s="3" t="s">
        <v>23</v>
      </c>
      <c r="E473" s="0" t="n">
        <v>2</v>
      </c>
      <c r="F473" s="4" t="n">
        <v>1786</v>
      </c>
      <c r="G473" s="4" t="n">
        <f aca="false">E473*F473</f>
        <v>3572</v>
      </c>
      <c r="H473" s="0" t="str">
        <f aca="false">TEXT(A473,"mmm-yy")</f>
        <v>Jun-26</v>
      </c>
    </row>
    <row r="474" customFormat="false" ht="15" hidden="false" customHeight="false" outlineLevel="0" collapsed="false">
      <c r="A474" s="2" t="n">
        <v>46203</v>
      </c>
      <c r="B474" s="3" t="s">
        <v>29</v>
      </c>
      <c r="C474" s="3" t="s">
        <v>17</v>
      </c>
      <c r="D474" s="3" t="s">
        <v>23</v>
      </c>
      <c r="E474" s="0" t="n">
        <v>1</v>
      </c>
      <c r="F474" s="4" t="n">
        <v>2466</v>
      </c>
      <c r="G474" s="4" t="n">
        <f aca="false">E474*F474</f>
        <v>2466</v>
      </c>
      <c r="H474" s="0" t="str">
        <f aca="false">TEXT(A474,"mmm-yy")</f>
        <v>Jun-26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4"/>
    <col collapsed="false" customWidth="true" hidden="false" outlineLevel="0" max="6" min="6" style="0" width="20"/>
    <col collapsed="false" customWidth="true" hidden="false" outlineLevel="0" max="7" min="7" style="0" width="16"/>
    <col collapsed="false" customWidth="true" hidden="false" outlineLevel="0" max="11" min="8" style="0" width="4"/>
    <col collapsed="false" customWidth="true" hidden="false" outlineLevel="0" max="12" min="12" style="0" width="22"/>
  </cols>
  <sheetData>
    <row r="1" customFormat="false" ht="15" hidden="false" customHeight="false" outlineLevel="0" collapsed="false">
      <c r="L1" s="5" t="s">
        <v>1</v>
      </c>
      <c r="M1" s="5" t="s">
        <v>30</v>
      </c>
    </row>
    <row r="2" customFormat="false" ht="22.05" hidden="false" customHeight="false" outlineLevel="0" collapsed="false">
      <c r="B2" s="6" t="s">
        <v>31</v>
      </c>
      <c r="L2" s="3" t="s">
        <v>8</v>
      </c>
      <c r="M2" s="4" t="n">
        <f aca="false">SUMIF('Raw Data'!$B$2:$B$474,L2,'Raw Data'!$G$2:$G$474)</f>
        <v>135893</v>
      </c>
    </row>
    <row r="3" customFormat="false" ht="15" hidden="false" customHeight="false" outlineLevel="0" collapsed="false">
      <c r="B3" s="5" t="s">
        <v>32</v>
      </c>
      <c r="L3" s="3" t="s">
        <v>22</v>
      </c>
      <c r="M3" s="4" t="n">
        <f aca="false">SUMIF('Raw Data'!$B$2:$B$474,L3,'Raw Data'!$G$2:$G$474)</f>
        <v>496788</v>
      </c>
    </row>
    <row r="4" customFormat="false" ht="15" hidden="false" customHeight="false" outlineLevel="0" collapsed="false">
      <c r="L4" s="0" t="s">
        <v>27</v>
      </c>
      <c r="M4" s="4" t="n">
        <f aca="false">SUMIF('Raw Data'!$B$2:$B$474,L4,'Raw Data'!$G$2:$G$474)</f>
        <v>174977</v>
      </c>
    </row>
    <row r="5" customFormat="false" ht="15" hidden="false" customHeight="false" outlineLevel="0" collapsed="false">
      <c r="B5" s="7" t="s">
        <v>33</v>
      </c>
      <c r="C5" s="7"/>
      <c r="D5" s="7" t="s">
        <v>34</v>
      </c>
      <c r="E5" s="7"/>
      <c r="F5" s="7" t="s">
        <v>35</v>
      </c>
      <c r="G5" s="7"/>
      <c r="H5" s="7" t="s">
        <v>36</v>
      </c>
      <c r="I5" s="7"/>
      <c r="L5" s="3" t="s">
        <v>16</v>
      </c>
      <c r="M5" s="4" t="n">
        <f aca="false">SUMIF('Raw Data'!$B$2:$B$474,L5,'Raw Data'!$G$2:$G$474)</f>
        <v>43725</v>
      </c>
    </row>
    <row r="6" customFormat="false" ht="15" hidden="false" customHeight="false" outlineLevel="0" collapsed="false">
      <c r="B6" s="8" t="n">
        <f aca="false">SUM('Raw Data'!G2:G474)</f>
        <v>1956460</v>
      </c>
      <c r="C6" s="8"/>
      <c r="D6" s="8" t="n">
        <f aca="false">SUM('Raw Data'!E2:E474)</f>
        <v>1448</v>
      </c>
      <c r="E6" s="8"/>
      <c r="F6" s="8" t="n">
        <f aca="false">COUNTA('Raw Data'!A2:A474)</f>
        <v>473</v>
      </c>
      <c r="G6" s="8"/>
      <c r="H6" s="8" t="n">
        <f aca="false">SUM('Raw Data'!G2:G474)/COUNTA('Raw Data'!A2:A474)</f>
        <v>4136.27906976744</v>
      </c>
      <c r="I6" s="8"/>
      <c r="L6" s="3" t="s">
        <v>29</v>
      </c>
      <c r="M6" s="4" t="n">
        <f aca="false">SUMIF('Raw Data'!$B$2:$B$474,L6,'Raw Data'!$G$2:$G$474)</f>
        <v>193061</v>
      </c>
    </row>
    <row r="7" customFormat="false" ht="15" hidden="false" customHeight="false" outlineLevel="0" collapsed="false">
      <c r="B7" s="8"/>
      <c r="C7" s="8"/>
      <c r="D7" s="8"/>
      <c r="E7" s="8"/>
      <c r="F7" s="8"/>
      <c r="G7" s="8"/>
      <c r="H7" s="8"/>
      <c r="I7" s="8"/>
      <c r="L7" s="3" t="s">
        <v>25</v>
      </c>
      <c r="M7" s="4" t="n">
        <f aca="false">SUMIF('Raw Data'!$B$2:$B$474,L7,'Raw Data'!$G$2:$G$474)</f>
        <v>287880</v>
      </c>
    </row>
    <row r="8" customFormat="false" ht="15" hidden="false" customHeight="false" outlineLevel="0" collapsed="false">
      <c r="L8" s="0" t="s">
        <v>28</v>
      </c>
      <c r="M8" s="4" t="n">
        <f aca="false">SUMIF('Raw Data'!$B$2:$B$474,L8,'Raw Data'!$G$2:$G$474)</f>
        <v>157966</v>
      </c>
    </row>
    <row r="9" customFormat="false" ht="15" hidden="false" customHeight="false" outlineLevel="0" collapsed="false">
      <c r="L9" s="0" t="s">
        <v>19</v>
      </c>
      <c r="M9" s="4" t="n">
        <f aca="false">SUMIF('Raw Data'!$B$2:$B$474,L9,'Raw Data'!$G$2:$G$474)</f>
        <v>136637</v>
      </c>
    </row>
    <row r="10" customFormat="false" ht="16.15" hidden="false" customHeight="false" outlineLevel="0" collapsed="false">
      <c r="B10" s="9" t="s">
        <v>37</v>
      </c>
      <c r="F10" s="9" t="s">
        <v>38</v>
      </c>
      <c r="L10" s="3" t="s">
        <v>24</v>
      </c>
      <c r="M10" s="4" t="n">
        <f aca="false">SUMIF('Raw Data'!$B$2:$B$474,L10,'Raw Data'!$G$2:$G$474)</f>
        <v>52341</v>
      </c>
    </row>
    <row r="11" customFormat="false" ht="15" hidden="false" customHeight="false" outlineLevel="0" collapsed="false">
      <c r="B11" s="10" t="s">
        <v>2</v>
      </c>
      <c r="C11" s="10" t="s">
        <v>6</v>
      </c>
      <c r="D11" s="10" t="s">
        <v>39</v>
      </c>
      <c r="F11" s="10" t="s">
        <v>3</v>
      </c>
      <c r="G11" s="10" t="s">
        <v>6</v>
      </c>
      <c r="L11" s="3" t="s">
        <v>14</v>
      </c>
      <c r="M11" s="4" t="n">
        <f aca="false">SUMIF('Raw Data'!$B$2:$B$474,L11,'Raw Data'!$G$2:$G$474)</f>
        <v>95234</v>
      </c>
    </row>
    <row r="12" customFormat="false" ht="15" hidden="false" customHeight="false" outlineLevel="0" collapsed="false">
      <c r="B12" s="11" t="s">
        <v>9</v>
      </c>
      <c r="C12" s="12" t="n">
        <f aca="false">SUMIF('Raw Data'!$C$2:$C$474,B12,'Raw Data'!$G$2:$G$474)</f>
        <v>807658</v>
      </c>
      <c r="D12" s="12" t="n">
        <f aca="false">SUMIF('Raw Data'!$C$2:$C$474,B12,'Raw Data'!$E$2:$E$474)</f>
        <v>331</v>
      </c>
      <c r="F12" s="11" t="s">
        <v>13</v>
      </c>
      <c r="G12" s="12" t="n">
        <f aca="false">SUMIF('Raw Data'!$D$2:$D$474,F12,'Raw Data'!$G$2:$G$474)</f>
        <v>455788</v>
      </c>
      <c r="L12" s="3" t="s">
        <v>26</v>
      </c>
      <c r="M12" s="4" t="n">
        <f aca="false">SUMIF('Raw Data'!$B$2:$B$474,L12,'Raw Data'!$G$2:$G$474)</f>
        <v>46968</v>
      </c>
    </row>
    <row r="13" customFormat="false" ht="15" hidden="false" customHeight="false" outlineLevel="0" collapsed="false">
      <c r="B13" s="11" t="s">
        <v>17</v>
      </c>
      <c r="C13" s="12" t="n">
        <f aca="false">SUMIF('Raw Data'!$C$2:$C$474,B13,'Raw Data'!$G$2:$G$474)</f>
        <v>524666</v>
      </c>
      <c r="D13" s="12" t="n">
        <f aca="false">SUMIF('Raw Data'!$C$2:$C$474,B13,'Raw Data'!$E$2:$E$474)</f>
        <v>274</v>
      </c>
      <c r="F13" s="11" t="s">
        <v>10</v>
      </c>
      <c r="G13" s="12" t="n">
        <f aca="false">SUMIF('Raw Data'!$D$2:$D$474,F13,'Raw Data'!$G$2:$G$474)</f>
        <v>426220</v>
      </c>
      <c r="L13" s="3" t="s">
        <v>11</v>
      </c>
      <c r="M13" s="4" t="n">
        <f aca="false">SUMIF('Raw Data'!$B$2:$B$474,L13,'Raw Data'!$G$2:$G$474)</f>
        <v>81191</v>
      </c>
    </row>
    <row r="14" customFormat="false" ht="15" hidden="false" customHeight="false" outlineLevel="0" collapsed="false">
      <c r="B14" s="11" t="s">
        <v>20</v>
      </c>
      <c r="C14" s="12" t="n">
        <f aca="false">SUMIF('Raw Data'!$C$2:$C$474,B14,'Raw Data'!$G$2:$G$474)</f>
        <v>346944</v>
      </c>
      <c r="D14" s="12" t="n">
        <f aca="false">SUMIF('Raw Data'!$C$2:$C$474,B14,'Raw Data'!$E$2:$E$474)</f>
        <v>332</v>
      </c>
      <c r="F14" s="11" t="s">
        <v>23</v>
      </c>
      <c r="G14" s="12" t="n">
        <f aca="false">SUMIF('Raw Data'!$D$2:$D$474,F14,'Raw Data'!$G$2:$G$474)</f>
        <v>591847</v>
      </c>
      <c r="L14" s="3" t="s">
        <v>21</v>
      </c>
      <c r="M14" s="4" t="n">
        <f aca="false">SUMIF('Raw Data'!$B$2:$B$474,L14,'Raw Data'!$G$2:$G$474)</f>
        <v>53799</v>
      </c>
    </row>
    <row r="15" customFormat="false" ht="15" hidden="false" customHeight="false" outlineLevel="0" collapsed="false">
      <c r="B15" s="11" t="s">
        <v>15</v>
      </c>
      <c r="C15" s="12" t="n">
        <f aca="false">SUMIF('Raw Data'!$C$2:$C$474,B15,'Raw Data'!$G$2:$G$474)</f>
        <v>142202</v>
      </c>
      <c r="D15" s="12" t="n">
        <f aca="false">SUMIF('Raw Data'!$C$2:$C$474,B15,'Raw Data'!$E$2:$E$474)</f>
        <v>253</v>
      </c>
      <c r="F15" s="11" t="s">
        <v>18</v>
      </c>
      <c r="G15" s="12" t="n">
        <f aca="false">SUMIF('Raw Data'!$D$2:$D$474,F15,'Raw Data'!$G$2:$G$474)</f>
        <v>482605</v>
      </c>
    </row>
    <row r="16" customFormat="false" ht="15" hidden="false" customHeight="false" outlineLevel="0" collapsed="false">
      <c r="B16" s="11" t="s">
        <v>12</v>
      </c>
      <c r="C16" s="12" t="n">
        <f aca="false">SUMIF('Raw Data'!$C$2:$C$474,B16,'Raw Data'!$G$2:$G$474)</f>
        <v>134990</v>
      </c>
      <c r="D16" s="12" t="n">
        <f aca="false">SUMIF('Raw Data'!$C$2:$C$474,B16,'Raw Data'!$E$2:$E$474)</f>
        <v>258</v>
      </c>
    </row>
    <row r="19" customFormat="false" ht="16.15" hidden="false" customHeight="false" outlineLevel="0" collapsed="false">
      <c r="B19" s="9" t="s">
        <v>40</v>
      </c>
      <c r="F19" s="9" t="s">
        <v>41</v>
      </c>
    </row>
    <row r="20" customFormat="false" ht="15" hidden="false" customHeight="false" outlineLevel="0" collapsed="false">
      <c r="B20" s="10" t="s">
        <v>7</v>
      </c>
      <c r="C20" s="10" t="s">
        <v>6</v>
      </c>
      <c r="F20" s="10" t="s">
        <v>1</v>
      </c>
      <c r="G20" s="10" t="s">
        <v>6</v>
      </c>
    </row>
    <row r="21" customFormat="false" ht="15" hidden="false" customHeight="false" outlineLevel="0" collapsed="false">
      <c r="B21" s="11" t="s">
        <v>42</v>
      </c>
      <c r="C21" s="12" t="n">
        <f aca="false">SUMIF('Raw Data'!$H$2:$H$474,B21,'Raw Data'!$G$2:$G$474)</f>
        <v>268576</v>
      </c>
      <c r="F21" s="11" t="str">
        <f aca="false">INDEX($L$2:$L$14,MATCH(G21,$M$2:$M$14,0))</f>
        <v>Smart Watch</v>
      </c>
      <c r="G21" s="12" t="n">
        <f aca="false">LARGE($M$2:$M$14,1)</f>
        <v>496788</v>
      </c>
    </row>
    <row r="22" customFormat="false" ht="15" hidden="false" customHeight="false" outlineLevel="0" collapsed="false">
      <c r="B22" s="11" t="s">
        <v>43</v>
      </c>
      <c r="C22" s="12" t="n">
        <f aca="false">SUMIF('Raw Data'!$H$2:$H$474,B22,'Raw Data'!$G$2:$G$474)</f>
        <v>298326</v>
      </c>
      <c r="F22" s="11" t="str">
        <f aca="false">INDEX($L$2:$L$14,MATCH(G22,$M$2:$M$14,0))</f>
        <v>Running Shoes</v>
      </c>
      <c r="G22" s="12" t="n">
        <f aca="false">LARGE($M$2:$M$14,2)</f>
        <v>287880</v>
      </c>
    </row>
    <row r="23" customFormat="false" ht="15" hidden="false" customHeight="false" outlineLevel="0" collapsed="false">
      <c r="B23" s="11" t="s">
        <v>44</v>
      </c>
      <c r="C23" s="12" t="n">
        <f aca="false">SUMIF('Raw Data'!$H$2:$H$474,B23,'Raw Data'!$G$2:$G$474)</f>
        <v>369041</v>
      </c>
      <c r="F23" s="11" t="str">
        <f aca="false">INDEX($L$2:$L$14,MATCH(G23,$M$2:$M$14,0))</f>
        <v>Denim Jacket</v>
      </c>
      <c r="G23" s="12" t="n">
        <f aca="false">LARGE($M$2:$M$14,3)</f>
        <v>193061</v>
      </c>
    </row>
    <row r="24" customFormat="false" ht="15" hidden="false" customHeight="false" outlineLevel="0" collapsed="false">
      <c r="B24" s="11" t="s">
        <v>45</v>
      </c>
      <c r="C24" s="12" t="n">
        <f aca="false">SUMIF('Raw Data'!$H$2:$H$474,B24,'Raw Data'!$G$2:$G$474)</f>
        <v>315334</v>
      </c>
      <c r="F24" s="11" t="str">
        <f aca="false">INDEX($L$2:$L$14,MATCH(G24,$M$2:$M$14,0))</f>
        <v>Bluetooth Speaker</v>
      </c>
      <c r="G24" s="12" t="n">
        <f aca="false">LARGE($M$2:$M$14,4)</f>
        <v>174977</v>
      </c>
    </row>
    <row r="25" customFormat="false" ht="15" hidden="false" customHeight="false" outlineLevel="0" collapsed="false">
      <c r="B25" s="11" t="s">
        <v>46</v>
      </c>
      <c r="C25" s="12" t="n">
        <f aca="false">SUMIF('Raw Data'!$H$2:$H$474,B25,'Raw Data'!$G$2:$G$474)</f>
        <v>404507</v>
      </c>
      <c r="F25" s="11" t="str">
        <f aca="false">INDEX($L$2:$L$14,MATCH(G25,$M$2:$M$14,0))</f>
        <v>Non-stick Pan Set</v>
      </c>
      <c r="G25" s="12" t="n">
        <f aca="false">LARGE($M$2:$M$14,5)</f>
        <v>157966</v>
      </c>
    </row>
    <row r="26" customFormat="false" ht="15" hidden="false" customHeight="false" outlineLevel="0" collapsed="false">
      <c r="B26" s="11" t="s">
        <v>47</v>
      </c>
      <c r="C26" s="12" t="n">
        <f aca="false">SUMIF('Raw Data'!$H$2:$H$474,B26,'Raw Data'!$G$2:$G$474)</f>
        <v>300676</v>
      </c>
    </row>
  </sheetData>
  <mergeCells count="8">
    <mergeCell ref="B5:C5"/>
    <mergeCell ref="D5:E5"/>
    <mergeCell ref="F5:G5"/>
    <mergeCell ref="H5:I5"/>
    <mergeCell ref="B6:C7"/>
    <mergeCell ref="D6:E7"/>
    <mergeCell ref="F6:G7"/>
    <mergeCell ref="H6:I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2026-09-08T07:48:42Z</dcterms:created>
  <dc:creator>openpyxl</dc:creator>
  <dc:description/>
  <dc:language>en-US</dc:language>
  <cp:lastModifiedBy/>
  <dcterms:modified xsi:type="dcterms:W3CDTF">2026-09-08T07:48:47Z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